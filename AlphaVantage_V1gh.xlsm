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DieseArbeitsmappe" defaultThemeVersion="166925"/>
  <mc:AlternateContent xmlns:mc="http://schemas.openxmlformats.org/markup-compatibility/2006">
    <mc:Choice Requires="x15">
      <x15ac:absPath xmlns:x15ac="http://schemas.microsoft.com/office/spreadsheetml/2010/11/ac" url="E:\Finanzen\"/>
    </mc:Choice>
  </mc:AlternateContent>
  <xr:revisionPtr revIDLastSave="0" documentId="8_{F51BE551-E9A7-41AB-9525-2EFD6C09444F}" xr6:coauthVersionLast="47" xr6:coauthVersionMax="47" xr10:uidLastSave="{00000000-0000-0000-0000-000000000000}"/>
  <bookViews>
    <workbookView xWindow="0" yWindow="24" windowWidth="22356" windowHeight="12216" xr2:uid="{00000000-000D-0000-FFFF-FFFF00000000}"/>
  </bookViews>
  <sheets>
    <sheet name="Alphavantage" sheetId="4" r:id="rId1"/>
    <sheet name="API" sheetId="2" r:id="rId2"/>
    <sheet name="SMA" sheetId="7" r:id="rId3"/>
    <sheet name="TIME_SERIES_DAILY_ADJUSTED" sheetId="8" r:id="rId4"/>
    <sheet name="GLOBAL_QUOTE" sheetId="5" r:id="rId5"/>
    <sheet name="CURRENCY_EXCHANGE_RATE" sheetId="6" r:id="rId6"/>
  </sheets>
  <functionGroups builtInGroupCount="19"/>
  <definedNames>
    <definedName name="_xlnm._FilterDatabase" localSheetId="0" hidden="1">Alphavantage!$A$9:$N$53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2" i="8" l="1" a="1"/>
  <c r="I12" i="8" s="1"/>
  <c r="I11" i="8" a="1"/>
  <c r="I11" i="8" s="1"/>
  <c r="D7" i="4"/>
  <c r="E13" i="4" s="1"/>
  <c r="C794" i="8"/>
  <c r="C786" i="8"/>
  <c r="C778" i="8"/>
  <c r="C770" i="8"/>
  <c r="C762" i="8"/>
  <c r="C754" i="8"/>
  <c r="C746" i="8"/>
  <c r="C738" i="8"/>
  <c r="C730" i="8"/>
  <c r="C722" i="8"/>
  <c r="C714" i="8"/>
  <c r="C706" i="8"/>
  <c r="C698" i="8"/>
  <c r="C690" i="8"/>
  <c r="C682" i="8"/>
  <c r="C674" i="8"/>
  <c r="C666" i="8"/>
  <c r="C658" i="8"/>
  <c r="C650" i="8"/>
  <c r="C642" i="8"/>
  <c r="C634" i="8"/>
  <c r="C626" i="8"/>
  <c r="C618" i="8"/>
  <c r="C610" i="8"/>
  <c r="C602" i="8"/>
  <c r="C594" i="8"/>
  <c r="C586" i="8"/>
  <c r="C578" i="8"/>
  <c r="C570" i="8"/>
  <c r="C562" i="8"/>
  <c r="C554" i="8"/>
  <c r="C546" i="8"/>
  <c r="C538" i="8"/>
  <c r="C530" i="8"/>
  <c r="C522" i="8"/>
  <c r="C514" i="8"/>
  <c r="C506" i="8"/>
  <c r="C498" i="8"/>
  <c r="C490" i="8"/>
  <c r="C482" i="8"/>
  <c r="C474" i="8"/>
  <c r="C466" i="8"/>
  <c r="C458" i="8"/>
  <c r="C450" i="8"/>
  <c r="C442" i="8"/>
  <c r="C434" i="8"/>
  <c r="C426" i="8"/>
  <c r="C418" i="8"/>
  <c r="C410" i="8"/>
  <c r="C402" i="8"/>
  <c r="C394" i="8"/>
  <c r="C386" i="8"/>
  <c r="C378" i="8"/>
  <c r="C370" i="8"/>
  <c r="C362" i="8"/>
  <c r="C354" i="8"/>
  <c r="C346" i="8"/>
  <c r="C338" i="8"/>
  <c r="C330" i="8"/>
  <c r="C322" i="8"/>
  <c r="C314" i="8"/>
  <c r="C306" i="8"/>
  <c r="C298" i="8"/>
  <c r="C290" i="8"/>
  <c r="C282" i="8"/>
  <c r="C274" i="8"/>
  <c r="C266" i="8"/>
  <c r="C258" i="8"/>
  <c r="C250" i="8"/>
  <c r="C242" i="8"/>
  <c r="C234" i="8"/>
  <c r="C226" i="8"/>
  <c r="C218" i="8"/>
  <c r="C210" i="8"/>
  <c r="C202" i="8"/>
  <c r="C194" i="8"/>
  <c r="C186" i="8"/>
  <c r="C178" i="8"/>
  <c r="C170" i="8"/>
  <c r="C162" i="8"/>
  <c r="C154" i="8"/>
  <c r="C146" i="8"/>
  <c r="C138" i="8"/>
  <c r="C130" i="8"/>
  <c r="C122" i="8"/>
  <c r="C114" i="8"/>
  <c r="C106" i="8"/>
  <c r="C98" i="8"/>
  <c r="C90" i="8"/>
  <c r="C82" i="8"/>
  <c r="C74" i="8"/>
  <c r="C66" i="8"/>
  <c r="C58" i="8"/>
  <c r="C50" i="8"/>
  <c r="C42" i="8"/>
  <c r="C34" i="8"/>
  <c r="C26" i="8"/>
  <c r="C18" i="8"/>
  <c r="C10" i="8"/>
  <c r="I15" i="8" a="1"/>
  <c r="I15" i="8" s="1"/>
  <c r="I14" i="8" a="1"/>
  <c r="I14" i="8" s="1"/>
  <c r="C3" i="4"/>
  <c r="B3" i="4"/>
  <c r="E52" i="4" l="1"/>
  <c r="J52" i="4"/>
  <c r="I52" i="4"/>
  <c r="E37" i="4"/>
  <c r="E33" i="4"/>
  <c r="E29" i="4"/>
  <c r="E11" i="4"/>
  <c r="E49" i="4"/>
  <c r="E45" i="4"/>
  <c r="E41" i="4"/>
  <c r="E25" i="4"/>
  <c r="E16" i="4"/>
  <c r="E21" i="4"/>
  <c r="E17" i="4"/>
  <c r="E12" i="4"/>
  <c r="E48" i="4"/>
  <c r="E44" i="4"/>
  <c r="E40" i="4"/>
  <c r="E36" i="4"/>
  <c r="E32" i="4"/>
  <c r="E28" i="4"/>
  <c r="E24" i="4"/>
  <c r="E20" i="4"/>
  <c r="E51" i="4"/>
  <c r="E47" i="4"/>
  <c r="E43" i="4"/>
  <c r="E39" i="4"/>
  <c r="E35" i="4"/>
  <c r="E31" i="4"/>
  <c r="E27" i="4"/>
  <c r="E23" i="4"/>
  <c r="E19" i="4"/>
  <c r="E15" i="4"/>
  <c r="E10" i="4"/>
  <c r="E50" i="4"/>
  <c r="E46" i="4"/>
  <c r="E42" i="4"/>
  <c r="E38" i="4"/>
  <c r="E34" i="4"/>
  <c r="E30" i="4"/>
  <c r="E26" i="4"/>
  <c r="E22" i="4"/>
  <c r="E18" i="4"/>
  <c r="E14" i="4"/>
  <c r="J46" i="4"/>
  <c r="J50" i="4"/>
  <c r="J45" i="4"/>
  <c r="J49" i="4"/>
  <c r="J51" i="4"/>
  <c r="J47" i="4"/>
  <c r="I51" i="4"/>
  <c r="J48" i="4"/>
  <c r="J44" i="4"/>
  <c r="I47" i="4"/>
  <c r="I50" i="4"/>
  <c r="I46" i="4"/>
  <c r="I49" i="4"/>
  <c r="I45" i="4"/>
  <c r="I48" i="4"/>
  <c r="I44" i="4"/>
  <c r="I42" i="4"/>
  <c r="I43" i="4"/>
  <c r="J43" i="4"/>
  <c r="J42" i="4"/>
  <c r="I36" i="4"/>
  <c r="J36" i="4"/>
  <c r="I35" i="4"/>
  <c r="J35" i="4"/>
  <c r="I34" i="4"/>
  <c r="J34" i="4"/>
  <c r="I32" i="4"/>
  <c r="J32" i="4"/>
  <c r="I31" i="4"/>
  <c r="J31" i="4"/>
  <c r="J30" i="4"/>
  <c r="I29" i="4"/>
  <c r="I30" i="4"/>
  <c r="J29" i="4"/>
  <c r="I28" i="4"/>
  <c r="J28" i="4"/>
  <c r="I27" i="4"/>
  <c r="J27" i="4"/>
  <c r="I26" i="4"/>
  <c r="J26" i="4"/>
  <c r="I25" i="4"/>
  <c r="J25" i="4"/>
  <c r="J24" i="4"/>
  <c r="I23" i="4"/>
  <c r="I24" i="4"/>
  <c r="J23" i="4"/>
  <c r="I21" i="4"/>
  <c r="I20" i="4"/>
  <c r="J21" i="4"/>
  <c r="J20" i="4"/>
  <c r="I19" i="4"/>
  <c r="J19" i="4"/>
  <c r="I17" i="4"/>
  <c r="I22" i="4"/>
  <c r="I18" i="4"/>
  <c r="J18" i="4"/>
  <c r="I16" i="4"/>
  <c r="J17" i="4"/>
  <c r="J22" i="4"/>
  <c r="J16" i="4"/>
  <c r="I15" i="4"/>
  <c r="J15" i="4"/>
  <c r="I14" i="4"/>
  <c r="J14" i="4"/>
  <c r="I13" i="4"/>
  <c r="J13" i="4"/>
  <c r="I12" i="4"/>
  <c r="J12" i="4"/>
  <c r="I11" i="4"/>
  <c r="J11" i="4"/>
  <c r="I10" i="4"/>
  <c r="J10" i="4"/>
  <c r="J8" i="4" s="1"/>
  <c r="I37" i="4"/>
  <c r="J38" i="4"/>
  <c r="J33" i="4"/>
  <c r="I39" i="4"/>
  <c r="I33" i="4"/>
  <c r="I40" i="4"/>
  <c r="I41" i="4"/>
  <c r="J37" i="4"/>
  <c r="I38" i="4"/>
  <c r="J40" i="4"/>
  <c r="J41" i="4"/>
  <c r="J39" i="4"/>
  <c r="I16" i="8"/>
  <c r="N52" i="4" l="1"/>
  <c r="K52" i="4"/>
  <c r="L52" i="4"/>
  <c r="N47" i="4"/>
  <c r="N16" i="4"/>
  <c r="N46" i="4"/>
  <c r="N50" i="4"/>
  <c r="N49" i="4"/>
  <c r="N41" i="4"/>
  <c r="N40" i="4"/>
  <c r="N39" i="4"/>
  <c r="N37" i="4"/>
  <c r="N36" i="4"/>
  <c r="N32" i="4"/>
  <c r="N29" i="4"/>
  <c r="N27" i="4"/>
  <c r="N21" i="4"/>
  <c r="N20" i="4"/>
  <c r="N15" i="4"/>
  <c r="N13" i="4"/>
  <c r="N11" i="4"/>
  <c r="N12" i="4"/>
  <c r="N19" i="4"/>
  <c r="N28" i="4"/>
  <c r="N42" i="4"/>
  <c r="N14" i="4"/>
  <c r="N31" i="4"/>
  <c r="N33" i="4"/>
  <c r="N24" i="4"/>
  <c r="N25" i="4"/>
  <c r="N51" i="4"/>
  <c r="N43" i="4"/>
  <c r="N45" i="4"/>
  <c r="N30" i="4"/>
  <c r="N23" i="4"/>
  <c r="N34" i="4"/>
  <c r="N38" i="4"/>
  <c r="N17" i="4"/>
  <c r="N44" i="4"/>
  <c r="N22" i="4"/>
  <c r="N10" i="4"/>
  <c r="N18" i="4"/>
  <c r="N26" i="4"/>
  <c r="N35" i="4"/>
  <c r="N48" i="4"/>
  <c r="L22" i="4"/>
  <c r="K22" i="4"/>
  <c r="L51" i="4"/>
  <c r="K51" i="4"/>
  <c r="K50" i="4"/>
  <c r="L50" i="4"/>
  <c r="K49" i="4"/>
  <c r="L49" i="4"/>
  <c r="L48" i="4"/>
  <c r="K48" i="4"/>
  <c r="L47" i="4"/>
  <c r="K47" i="4"/>
  <c r="K46" i="4"/>
  <c r="L46" i="4"/>
  <c r="K45" i="4"/>
  <c r="L45" i="4"/>
  <c r="K44" i="4"/>
  <c r="L44" i="4"/>
  <c r="K42" i="4"/>
  <c r="L42" i="4"/>
  <c r="L43" i="4"/>
  <c r="K43" i="4"/>
  <c r="L36" i="4"/>
  <c r="K36" i="4"/>
  <c r="L35" i="4"/>
  <c r="K35" i="4"/>
  <c r="L34" i="4"/>
  <c r="K34" i="4"/>
  <c r="L32" i="4"/>
  <c r="K32" i="4"/>
  <c r="L31" i="4"/>
  <c r="K31" i="4"/>
  <c r="L30" i="4"/>
  <c r="K30" i="4"/>
  <c r="L29" i="4"/>
  <c r="K29" i="4"/>
  <c r="L28" i="4"/>
  <c r="K28" i="4"/>
  <c r="L27" i="4"/>
  <c r="K27" i="4"/>
  <c r="L26" i="4"/>
  <c r="K26" i="4"/>
  <c r="L25" i="4"/>
  <c r="K25" i="4"/>
  <c r="L24" i="4"/>
  <c r="K24" i="4"/>
  <c r="L23" i="4"/>
  <c r="K23" i="4"/>
  <c r="L21" i="4"/>
  <c r="K21" i="4"/>
  <c r="L20" i="4"/>
  <c r="K20" i="4"/>
  <c r="L19" i="4"/>
  <c r="K19" i="4"/>
  <c r="L18" i="4"/>
  <c r="K18" i="4"/>
  <c r="L17" i="4"/>
  <c r="K17" i="4"/>
  <c r="L16" i="4"/>
  <c r="K16" i="4"/>
  <c r="L15" i="4"/>
  <c r="K15" i="4"/>
  <c r="L14" i="4"/>
  <c r="K14" i="4"/>
  <c r="L13" i="4"/>
  <c r="K13" i="4"/>
  <c r="L12" i="4"/>
  <c r="K12" i="4"/>
  <c r="L11" i="4"/>
  <c r="K11" i="4"/>
  <c r="L10" i="4"/>
  <c r="K10" i="4"/>
  <c r="K37" i="4"/>
  <c r="K40" i="4"/>
  <c r="L40" i="4"/>
  <c r="K38" i="4"/>
  <c r="L41" i="4"/>
  <c r="L37" i="4"/>
  <c r="K39" i="4"/>
  <c r="K33" i="4"/>
  <c r="K41" i="4"/>
  <c r="L33" i="4"/>
  <c r="L38" i="4"/>
  <c r="L39" i="4"/>
  <c r="L8"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Magnum</author>
  </authors>
  <commentList>
    <comment ref="K9" authorId="0" shapeId="0" xr:uid="{00000000-0006-0000-0000-000001000000}">
      <text>
        <r>
          <rPr>
            <b/>
            <sz val="9"/>
            <color indexed="81"/>
            <rFont val="Segoe UI"/>
            <family val="2"/>
          </rPr>
          <t>Thomas Magnum:</t>
        </r>
        <r>
          <rPr>
            <sz val="9"/>
            <color indexed="81"/>
            <rFont val="Segoe UI"/>
            <family val="2"/>
          </rPr>
          <t xml:space="preserve">
=100% =&gt; aktuelles 100d Minimum
=&gt; aktueller Kurs liegt auf oder nahe dem 100d Minimum</t>
        </r>
      </text>
    </comment>
    <comment ref="L9" authorId="0" shapeId="0" xr:uid="{00000000-0006-0000-0000-000002000000}">
      <text>
        <r>
          <rPr>
            <b/>
            <sz val="9"/>
            <color indexed="81"/>
            <rFont val="Segoe UI"/>
            <family val="2"/>
          </rPr>
          <t>Thomas Magnum:</t>
        </r>
        <r>
          <rPr>
            <sz val="9"/>
            <color indexed="81"/>
            <rFont val="Segoe UI"/>
            <family val="2"/>
          </rPr>
          <t xml:space="preserve">
=100% =&gt; 100d Maximum
=&gt; aktueller Kurs liegt auf oder nahe dem 100d Maximum</t>
        </r>
      </text>
    </comment>
    <comment ref="M9" authorId="0" shapeId="0" xr:uid="{00000000-0006-0000-0000-000003000000}">
      <text>
        <r>
          <rPr>
            <b/>
            <sz val="9"/>
            <color indexed="81"/>
            <rFont val="Segoe UI"/>
            <family val="2"/>
          </rPr>
          <t>Thomas Magnum:</t>
        </r>
        <r>
          <rPr>
            <sz val="9"/>
            <color indexed="81"/>
            <rFont val="Segoe UI"/>
            <family val="2"/>
          </rPr>
          <t xml:space="preserve">
WIRD VERWENDET FÜR KURSKORREKTUREN, ZB ADR-Im-VERHÄLTNIS oDER ETF 1:100
</t>
        </r>
      </text>
    </comment>
    <comment ref="E11" authorId="0" shapeId="0" xr:uid="{00000000-0006-0000-0000-000004000000}">
      <text>
        <r>
          <rPr>
            <b/>
            <sz val="9"/>
            <color indexed="81"/>
            <rFont val="Segoe UI"/>
            <family val="2"/>
          </rPr>
          <t>Thomas Magnum:</t>
        </r>
        <r>
          <rPr>
            <sz val="9"/>
            <color indexed="81"/>
            <rFont val="Segoe UI"/>
            <family val="2"/>
          </rPr>
          <t xml:space="preserve">
GELIEFERTER WERT IST ADR IM VERHÄLTNIS 6:1 in DOLLAR
</t>
        </r>
      </text>
    </comment>
    <comment ref="I11" authorId="0" shapeId="0" xr:uid="{00000000-0006-0000-0000-000005000000}">
      <text>
        <r>
          <rPr>
            <b/>
            <sz val="9"/>
            <color indexed="81"/>
            <rFont val="Segoe UI"/>
            <family val="2"/>
          </rPr>
          <t>Thomas Magnum:</t>
        </r>
        <r>
          <rPr>
            <sz val="9"/>
            <color indexed="81"/>
            <rFont val="Segoe UI"/>
            <family val="2"/>
          </rPr>
          <t xml:space="preserve">
GELIEFERTER WERT IST ADR IM VERHÄLTNIS 6:1 in DOLLAR</t>
        </r>
      </text>
    </comment>
    <comment ref="J11" authorId="0" shapeId="0" xr:uid="{00000000-0006-0000-0000-000006000000}">
      <text>
        <r>
          <rPr>
            <b/>
            <sz val="9"/>
            <color indexed="81"/>
            <rFont val="Segoe UI"/>
            <family val="2"/>
          </rPr>
          <t>Thomas Magnum:</t>
        </r>
        <r>
          <rPr>
            <sz val="9"/>
            <color indexed="81"/>
            <rFont val="Segoe UI"/>
            <family val="2"/>
          </rPr>
          <t xml:space="preserve">
GELIEFERTER WERT IST ADR IM VERHÄLTNIS 6:1 in DOLLAR</t>
        </r>
      </text>
    </comment>
    <comment ref="E40" authorId="0" shapeId="0" xr:uid="{00000000-0006-0000-0000-000007000000}">
      <text>
        <r>
          <rPr>
            <b/>
            <sz val="9"/>
            <color indexed="81"/>
            <rFont val="Segoe UI"/>
            <family val="2"/>
          </rPr>
          <t>Thomas Magnum:</t>
        </r>
        <r>
          <rPr>
            <sz val="9"/>
            <color indexed="81"/>
            <rFont val="Segoe UI"/>
            <family val="2"/>
          </rPr>
          <t xml:space="preserve">
GELIEFERTER WERT IST ETF IM VERHÄLTNIS 1:100
</t>
        </r>
      </text>
    </comment>
    <comment ref="I40" authorId="0" shapeId="0" xr:uid="{00000000-0006-0000-0000-000008000000}">
      <text>
        <r>
          <rPr>
            <b/>
            <sz val="9"/>
            <color indexed="81"/>
            <rFont val="Segoe UI"/>
            <family val="2"/>
          </rPr>
          <t>Thomas Magnum:</t>
        </r>
        <r>
          <rPr>
            <sz val="9"/>
            <color indexed="81"/>
            <rFont val="Segoe UI"/>
            <family val="2"/>
          </rPr>
          <t xml:space="preserve">
GELIEFERTER WERT IST ETF IM VERHÄLTNIS 1:100</t>
        </r>
      </text>
    </comment>
    <comment ref="J40" authorId="0" shapeId="0" xr:uid="{00000000-0006-0000-0000-000009000000}">
      <text>
        <r>
          <rPr>
            <b/>
            <sz val="9"/>
            <color indexed="81"/>
            <rFont val="Segoe UI"/>
            <family val="2"/>
          </rPr>
          <t>Thomas Magnum:</t>
        </r>
        <r>
          <rPr>
            <sz val="9"/>
            <color indexed="81"/>
            <rFont val="Segoe UI"/>
            <family val="2"/>
          </rPr>
          <t xml:space="preserve">
GELIEFERTER WERT IST ETF IM VERHÄLTNIS 1:100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Magnum</author>
  </authors>
  <commentList>
    <comment ref="I11" authorId="0" shapeId="0" xr:uid="{00000000-0006-0000-0300-000001000000}">
      <text>
        <r>
          <rPr>
            <b/>
            <sz val="9"/>
            <color indexed="81"/>
            <rFont val="Segoe UI"/>
            <family val="2"/>
          </rPr>
          <t>Thomas Magnum:</t>
        </r>
        <r>
          <rPr>
            <sz val="9"/>
            <color indexed="81"/>
            <rFont val="Segoe UI"/>
            <family val="2"/>
          </rPr>
          <t xml:space="preserve">
bei Formeleingabe
SHIFT+STRG+RETURN
weil Arrayformel
</t>
        </r>
      </text>
    </comment>
    <comment ref="I12" authorId="0" shapeId="0" xr:uid="{00000000-0006-0000-0300-000002000000}">
      <text>
        <r>
          <rPr>
            <b/>
            <sz val="9"/>
            <color indexed="81"/>
            <rFont val="Segoe UI"/>
            <family val="2"/>
          </rPr>
          <t>Thomas Magnum:</t>
        </r>
        <r>
          <rPr>
            <sz val="9"/>
            <color indexed="81"/>
            <rFont val="Segoe UI"/>
            <family val="2"/>
          </rPr>
          <t xml:space="preserve">
bei Formeleingabe
SHIFT+STRG+RETURN
weil Arrayformel
</t>
        </r>
      </text>
    </comment>
    <comment ref="I14" authorId="0" shapeId="0" xr:uid="{00000000-0006-0000-0300-000003000000}">
      <text>
        <r>
          <rPr>
            <b/>
            <sz val="9"/>
            <color indexed="81"/>
            <rFont val="Segoe UI"/>
            <family val="2"/>
          </rPr>
          <t>Thomas Magnum:</t>
        </r>
        <r>
          <rPr>
            <sz val="9"/>
            <color indexed="81"/>
            <rFont val="Segoe UI"/>
            <family val="2"/>
          </rPr>
          <t xml:space="preserve">
bei Formeleingabe
SHIFT+STRG+RETURN
weil Arrayformel
</t>
        </r>
      </text>
    </comment>
    <comment ref="I15" authorId="0" shapeId="0" xr:uid="{00000000-0006-0000-0300-000004000000}">
      <text>
        <r>
          <rPr>
            <b/>
            <sz val="9"/>
            <color indexed="81"/>
            <rFont val="Segoe UI"/>
            <family val="2"/>
          </rPr>
          <t>Thomas Magnum:</t>
        </r>
        <r>
          <rPr>
            <sz val="9"/>
            <color indexed="81"/>
            <rFont val="Segoe UI"/>
            <family val="2"/>
          </rPr>
          <t xml:space="preserve">
bei Formeleingabe
SHIFT+STRG+RETURN
weil Arrayformel</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<sst xmlns="http://schemas.openxmlformats.org/spreadsheetml/2006/main" count="1927" uniqueCount="1745">
  <si>
    <t>Daimler</t>
  </si>
  <si>
    <t>MSFT</t>
  </si>
  <si>
    <t>Microsoft</t>
  </si>
  <si>
    <t>PFE</t>
  </si>
  <si>
    <t>Pfizer</t>
  </si>
  <si>
    <t>Google</t>
  </si>
  <si>
    <t>GOOGL</t>
  </si>
  <si>
    <t>AMZN</t>
  </si>
  <si>
    <t>Amazon</t>
  </si>
  <si>
    <t>T</t>
  </si>
  <si>
    <t>AT&amp;T</t>
  </si>
  <si>
    <t>JD.com</t>
  </si>
  <si>
    <t>BASF</t>
  </si>
  <si>
    <t>iShares MSCI World UCITS</t>
  </si>
  <si>
    <t>iShares Global Clean Energy</t>
  </si>
  <si>
    <t>PG</t>
  </si>
  <si>
    <t>HBCYF</t>
  </si>
  <si>
    <t>Adresse_API</t>
  </si>
  <si>
    <t>Key</t>
  </si>
  <si>
    <t>Date</t>
  </si>
  <si>
    <t>Wertpapier</t>
  </si>
  <si>
    <t>Preis</t>
  </si>
  <si>
    <t>Allianz</t>
  </si>
  <si>
    <t>END</t>
  </si>
  <si>
    <t>AlphaVantage</t>
  </si>
  <si>
    <t>TICKER</t>
  </si>
  <si>
    <t>DTE.FRK</t>
  </si>
  <si>
    <t>SAP.FRK</t>
  </si>
  <si>
    <t>JD</t>
  </si>
  <si>
    <t>BAS.FRK</t>
  </si>
  <si>
    <t>ALV.FRK</t>
  </si>
  <si>
    <t>IMSIF</t>
  </si>
  <si>
    <t>ISPA.FRK</t>
  </si>
  <si>
    <t>IQQW.DEX</t>
  </si>
  <si>
    <t>PYPL</t>
  </si>
  <si>
    <t>https://www.alphavantage.co/query?function=GLOBAL_QUOTE&amp;symbol=DTE.FRK&amp;apikey=GA9BJPHYSFYBYTJK</t>
  </si>
  <si>
    <t>{</t>
  </si>
  <si>
    <t xml:space="preserve">    "Global Quote": {</t>
  </si>
  <si>
    <t xml:space="preserve">        "01. symbol": "DTE.FRK",</t>
  </si>
  <si>
    <t xml:space="preserve">        "02. open": "15.1200",</t>
  </si>
  <si>
    <t xml:space="preserve">        "03. high": "15.1200",</t>
  </si>
  <si>
    <t xml:space="preserve">        "04. low": "14.9700",</t>
  </si>
  <si>
    <t xml:space="preserve">        "05. price": "15.0800",</t>
  </si>
  <si>
    <t xml:space="preserve">        "06. volume": "43223",</t>
  </si>
  <si>
    <t xml:space="preserve">        "07. latest trading day": "2021-01-22",</t>
  </si>
  <si>
    <t xml:space="preserve">        "08. previous close": "15.1250",</t>
  </si>
  <si>
    <t xml:space="preserve">        "09. change": "-0.0450",</t>
  </si>
  <si>
    <t xml:space="preserve">        "10. change percent": "-0.2975%"</t>
  </si>
  <si>
    <t xml:space="preserve">    }</t>
  </si>
  <si>
    <t>}</t>
  </si>
  <si>
    <t>https://www.alphavantage.co/query?function=TIME_SERIES_DAILY_ADJUSTED&amp;symbol=DTE.FRK&amp;apikey=GA9BJPHYSFYBYTJK</t>
  </si>
  <si>
    <t xml:space="preserve">    "Meta Data": {</t>
  </si>
  <si>
    <t xml:space="preserve">        "1. Information": "Daily Time Series with Splits and Dividend Events",</t>
  </si>
  <si>
    <t xml:space="preserve">        "2. Symbol": "DTE.FRK",</t>
  </si>
  <si>
    <t xml:space="preserve">        "3. Last Refreshed": "2021-01-22",</t>
  </si>
  <si>
    <t xml:space="preserve">        "4. Output Size": "Compact",</t>
  </si>
  <si>
    <t xml:space="preserve">        "5. Time Zone": "US/Eastern"</t>
  </si>
  <si>
    <t xml:space="preserve">    },</t>
  </si>
  <si>
    <t xml:space="preserve">    "Time Series (Daily)": {</t>
  </si>
  <si>
    <t xml:space="preserve">        "2021-01-22": {</t>
  </si>
  <si>
    <t xml:space="preserve">            "1. open": "15.12",</t>
  </si>
  <si>
    <t xml:space="preserve">            "2. high": "15.12",</t>
  </si>
  <si>
    <t xml:space="preserve">            "3. low": "14.97",</t>
  </si>
  <si>
    <t xml:space="preserve">            "4. close": "15.08",</t>
  </si>
  <si>
    <t xml:space="preserve">            "5. adjusted close": "15.08",</t>
  </si>
  <si>
    <t xml:space="preserve">            "6. volume": "43223",</t>
  </si>
  <si>
    <t xml:space="preserve">            "7. dividend amount": "0.0000",</t>
  </si>
  <si>
    <t xml:space="preserve">            "8. split coefficient": "1.0"</t>
  </si>
  <si>
    <t xml:space="preserve">        },</t>
  </si>
  <si>
    <t xml:space="preserve">        "2021-01-21": {</t>
  </si>
  <si>
    <t xml:space="preserve">            "1. open": "15.175",</t>
  </si>
  <si>
    <t xml:space="preserve">            "2. high": "15.33",</t>
  </si>
  <si>
    <t xml:space="preserve">            "3. low": "15.11",</t>
  </si>
  <si>
    <t xml:space="preserve">            "4. close": "15.125",</t>
  </si>
  <si>
    <t xml:space="preserve">            "5. adjusted close": "15.125",</t>
  </si>
  <si>
    <t xml:space="preserve">            "6. volume": "49612",</t>
  </si>
  <si>
    <t xml:space="preserve">        "2021-01-20": {</t>
  </si>
  <si>
    <t>https://www.alphavantage.co/query?function=OVERVIEW&amp;symbol=T&amp;apikey=GA9BJPHYSFYBYTJK</t>
  </si>
  <si>
    <t>NUR FÜR US AKTIEn VERFÜGBAR</t>
  </si>
  <si>
    <t xml:space="preserve">    "Symbol": "T",</t>
  </si>
  <si>
    <t xml:space="preserve">    "AssetType": "Common Stock",</t>
  </si>
  <si>
    <t xml:space="preserve">    "Name": "AT&amp;T Inc",</t>
  </si>
  <si>
    <t xml:space="preserve">    "Description": "AT&amp;T Inc. provides telecommunication, media, and technology services worldwide. The company operates through four segments: Communications, WarnerMedia, Latin America, and Xandr. The Communications segment provides wireless and wireline telecom, video, and broadband and Internet services; video entertainment services using satellite, IP-based, and streaming options; and audio programming services under the AT&amp;T, Cricket, AT&amp;T PREPAID, and DIRECTV brands to residential and business customers. This segment also sells handsets, wirelessly enabled computers, and wireless data cards manufactured by various suppliers for use with company's voice and data services, as well as various accessories, such as carrying cases and hands-free devices through the company-owned stores, agents, and third-party retail stores. The WarnerMedia segment primarily produces, distributes, and licenses television programming and feature films; distributes home entertainment products in physical and digital formats; and produces and distributes mobile and console games, and consumer products, as well as offers brand licensing services. It also operates cable networks, multichannel premium pay television, and over-the-top services; and digital media properties. The Latin America segment offers video entertainment and audio programming services under the DIRECTV and SKY brands primarily to residential customers; pay-TV services, including HD sports video content; and postpaid and prepaid wireless services under the AT&amp;T and Unefon brands, as well as sells various handsets through company-owned stores, agents, and third-party retail stores. The Xandr segment provides digital and video advertising services. The company was formerly known as SBC Communications Inc. and changed its name to AT&amp;T Inc. in November 2005. AT&amp;T Inc. was incorporated in 1983 and is based in Dallas, Texas.",</t>
  </si>
  <si>
    <t xml:space="preserve">    "Exchange": "NYSE",</t>
  </si>
  <si>
    <t xml:space="preserve">    "Currency": "USD",</t>
  </si>
  <si>
    <t xml:space="preserve">    "Country": "USA",</t>
  </si>
  <si>
    <t xml:space="preserve">    "Sector": "Communication Services",</t>
  </si>
  <si>
    <t xml:space="preserve">    "Industry": "Telecom Services",</t>
  </si>
  <si>
    <t xml:space="preserve">    "Address": "208 South Akard Street, Dallas, TX, United States, 75202",</t>
  </si>
  <si>
    <t xml:space="preserve">    "FullTimeEmployees": "235000",</t>
  </si>
  <si>
    <t xml:space="preserve">    "FiscalYearEnd": "December",</t>
  </si>
  <si>
    <t xml:space="preserve">    "LatestQuarter": "2020-09-30",</t>
  </si>
  <si>
    <t xml:space="preserve">    "MarketCapitalization": "206155186176",</t>
  </si>
  <si>
    <t xml:space="preserve">    "EBITDA": "54940999680",</t>
  </si>
  <si>
    <t xml:space="preserve">    "PERatio": "19.0329",</t>
  </si>
  <si>
    <t xml:space="preserve">    "PEGRatio": "7.4735",</t>
  </si>
  <si>
    <t xml:space="preserve">    "BookValue": "24.639",</t>
  </si>
  <si>
    <t xml:space="preserve">    "DividendPerShare": "2.08",</t>
  </si>
  <si>
    <t xml:space="preserve">    "DividendYield": "0.0721",</t>
  </si>
  <si>
    <t xml:space="preserve">    "EPS": "1.52",</t>
  </si>
  <si>
    <t xml:space="preserve">    "RevenuePerShareTTM": "24.018",</t>
  </si>
  <si>
    <t xml:space="preserve">    "ProfitMargin": "0.0642",</t>
  </si>
  <si>
    <t xml:space="preserve">    "OperatingMarginTTM": "0.1721",</t>
  </si>
  <si>
    <t xml:space="preserve">    "ReturnOnAssetsTTM": "0.0342",</t>
  </si>
  <si>
    <t xml:space="preserve">    "ReturnOnEquityTTM": "0.0637",</t>
  </si>
  <si>
    <t xml:space="preserve">    "RevenueTTM": "172889997312",</t>
  </si>
  <si>
    <t xml:space="preserve">    "GrossProfitTTM": "97052000000",</t>
  </si>
  <si>
    <t xml:space="preserve">    "DilutedEPSTTM": "1.52",</t>
  </si>
  <si>
    <t xml:space="preserve">    "QuarterlyEarningsGrowthYOY": "-0.234",</t>
  </si>
  <si>
    <t xml:space="preserve">    "QuarterlyRevenueGrowthYOY": "-0.05",</t>
  </si>
  <si>
    <t xml:space="preserve">    "AnalystTargetPrice": "31.01",</t>
  </si>
  <si>
    <t xml:space="preserve">    "TrailingPE": "19.0329",</t>
  </si>
  <si>
    <t xml:space="preserve">    "ForwardPE": "9.2937",</t>
  </si>
  <si>
    <t xml:space="preserve">    "PriceToSalesRatioTTM": "1.219",</t>
  </si>
  <si>
    <t xml:space="preserve">    "PriceToBookRatio": "1.1841",</t>
  </si>
  <si>
    <t xml:space="preserve">    "EVToRevenue": "2.1924",</t>
  </si>
  <si>
    <t xml:space="preserve">    "EVToEBITDA": "7.2318",</t>
  </si>
  <si>
    <t xml:space="preserve">    "Beta": "0.6796",</t>
  </si>
  <si>
    <t xml:space="preserve">    "52WeekHigh": "36.1804",</t>
  </si>
  <si>
    <t xml:space="preserve">    "52WeekLow": "24.3067",</t>
  </si>
  <si>
    <t xml:space="preserve">    "50DayMovingAverage": "29.4212",</t>
  </si>
  <si>
    <t xml:space="preserve">    "200DayMovingAverage": "29.0641",</t>
  </si>
  <si>
    <t xml:space="preserve">    "SharesOutstanding": "7126000128",</t>
  </si>
  <si>
    <t xml:space="preserve">    "SharesFloat": "7116664940",</t>
  </si>
  <si>
    <t xml:space="preserve">    "SharesShort": "129772225",</t>
  </si>
  <si>
    <t xml:space="preserve">    "SharesShortPriorMonth": "133098727",</t>
  </si>
  <si>
    <t xml:space="preserve">    "ShortRatio": "2.95",</t>
  </si>
  <si>
    <t xml:space="preserve">    "ShortPercentOutstanding": "0.02",</t>
  </si>
  <si>
    <t xml:space="preserve">    "ShortPercentFloat": "0.0182",</t>
  </si>
  <si>
    <t xml:space="preserve">    "PercentInsiders": "0.077",</t>
  </si>
  <si>
    <t xml:space="preserve">    "PercentInstitutions": "53.534",</t>
  </si>
  <si>
    <t xml:space="preserve">    "ForwardAnnualDividendRate": "2.08",</t>
  </si>
  <si>
    <t xml:space="preserve">    "ForwardAnnualDividendYield": "0.0721",</t>
  </si>
  <si>
    <t xml:space="preserve">    "PayoutRatio": "0.6265",</t>
  </si>
  <si>
    <t xml:space="preserve">    "DividendDate": "2021-02-01",</t>
  </si>
  <si>
    <t xml:space="preserve">    "ExDividendDate": "2021-01-08",</t>
  </si>
  <si>
    <t xml:space="preserve">    "LastSplitFactor": "2:1",</t>
  </si>
  <si>
    <t xml:space="preserve">    "LastSplitDate": "1998-03-20"</t>
  </si>
  <si>
    <t>https://www.alphavantage.co/query?function=CURRENCY_EXCHANGE_RATE&amp;from_currency=USD&amp;to_currency=JPY&amp;apikey=demo</t>
  </si>
  <si>
    <t xml:space="preserve">    "Realtime Currency Exchange Rate": {</t>
  </si>
  <si>
    <t xml:space="preserve">        "1. From_Currency Code": "USD",</t>
  </si>
  <si>
    <t xml:space="preserve">        "2. From_Currency Name": "United States Dollar",</t>
  </si>
  <si>
    <t xml:space="preserve">        "3. To_Currency Code": "JPY",</t>
  </si>
  <si>
    <t xml:space="preserve">        "4. To_Currency Name": "Japanese Yen",</t>
  </si>
  <si>
    <t xml:space="preserve">        "5. Exchange Rate": "103.77000000",</t>
  </si>
  <si>
    <t xml:space="preserve">        "6. Last Refreshed": "2021-01-23 15:55:01",</t>
  </si>
  <si>
    <t xml:space="preserve">        "7. Time Zone": "UTC",</t>
  </si>
  <si>
    <t xml:space="preserve">        "8. Bid Price": "103.76904532",</t>
  </si>
  <si>
    <t xml:space="preserve">        "9. Ask Price": "103.77249567"</t>
  </si>
  <si>
    <t>https://www.alphavantage.co/query?function=CURRENCY_EXCHANGE_RATE&amp;from_currency=BTC&amp;to_currency=USD&amp;apikey=GA9BJPHYSFYBYTJK</t>
  </si>
  <si>
    <t xml:space="preserve">        "1. From_Currency Code": "BTC",</t>
  </si>
  <si>
    <t xml:space="preserve">        "2. From_Currency Name": "Bitcoin",</t>
  </si>
  <si>
    <t xml:space="preserve">        "3. To_Currency Code": "USD",</t>
  </si>
  <si>
    <t xml:space="preserve">        "4. To_Currency Name": "United States Dollar",</t>
  </si>
  <si>
    <t xml:space="preserve">        "5. Exchange Rate": "31928.99000000",</t>
  </si>
  <si>
    <t xml:space="preserve">        "6. Last Refreshed": "2021-01-23 15:57:01",</t>
  </si>
  <si>
    <t xml:space="preserve">        "8. Bid Price": "31928.99000000",</t>
  </si>
  <si>
    <t xml:space="preserve">        "9. Ask Price": "31937.00000000"</t>
  </si>
  <si>
    <t>https://www.alphavantage.co/query?function=SMA&amp;symbol=DTE.FRK&amp;interval=daily&amp;time_period=200&amp;series_type=open&amp;apikey=GA9BJPHYSFYBYTJK</t>
  </si>
  <si>
    <t xml:space="preserve">        "1: Symbol": "DTE.FRK",</t>
  </si>
  <si>
    <t xml:space="preserve">        "2: Indicator": "Simple Moving Average (SMA)",</t>
  </si>
  <si>
    <t xml:space="preserve">        "3: Last Refreshed": "2021-01-22",</t>
  </si>
  <si>
    <t xml:space="preserve">        "4: Interval": "daily",</t>
  </si>
  <si>
    <t xml:space="preserve">        "5: Time Period": 200,</t>
  </si>
  <si>
    <t xml:space="preserve">        "6: Series Type": "open",</t>
  </si>
  <si>
    <t xml:space="preserve">        "7: Time Zone": "US/Eastern"</t>
  </si>
  <si>
    <t xml:space="preserve">    "Technical Analysis: SMA": {</t>
  </si>
  <si>
    <t xml:space="preserve">            "SMA": "14.3986"</t>
  </si>
  <si>
    <t xml:space="preserve">            "SMA": "14.3822"</t>
  </si>
  <si>
    <t xml:space="preserve">            "SMA": "14.3645"</t>
  </si>
  <si>
    <t xml:space="preserve">        "2021-01-19": {</t>
  </si>
  <si>
    <t xml:space="preserve">            "SMA": "14.3449"</t>
  </si>
  <si>
    <t xml:space="preserve">        "2021-01-18": {</t>
  </si>
  <si>
    <t xml:space="preserve">            "SMA": "14.3251"</t>
  </si>
  <si>
    <t>https://www.alphavantage.co/query?function=RSI&amp;symbol=DTE.FRK&amp;interval=daily&amp;time_period=10&amp;series_type=open&amp;apikey=GA9BJPHYSFYBYTJK</t>
  </si>
  <si>
    <t xml:space="preserve">        "2: Indicator": "Relative Strength Index (RSI)",</t>
  </si>
  <si>
    <t xml:space="preserve">        "5: Time Period": 10,</t>
  </si>
  <si>
    <t xml:space="preserve">        "7: Time Zone": "US/Eastern Time"</t>
  </si>
  <si>
    <t xml:space="preserve">    "Technical Analysis: RSI": {</t>
  </si>
  <si>
    <t xml:space="preserve">            "RSI": "51.2072"</t>
  </si>
  <si>
    <t xml:space="preserve">            "RSI": "54.2333"</t>
  </si>
  <si>
    <t xml:space="preserve">            "RSI": "51.4143"</t>
  </si>
  <si>
    <t xml:space="preserve">            "RSI": "47.5365"</t>
  </si>
  <si>
    <t xml:space="preserve">            "RSI": "45.8343"</t>
  </si>
  <si>
    <t>KGV</t>
  </si>
  <si>
    <t>Kurs-Gewinn-Wachstums Verhältnis</t>
  </si>
  <si>
    <t>Buchwert</t>
  </si>
  <si>
    <t>Dividende je Aktie</t>
  </si>
  <si>
    <t>Dividendenrendite</t>
  </si>
  <si>
    <t>Gewinn pro Aktie</t>
  </si>
  <si>
    <t>??</t>
  </si>
  <si>
    <t>Kurs-Buchwert-Verhätlnis</t>
  </si>
  <si>
    <t>Beta</t>
  </si>
  <si>
    <t>52wh</t>
  </si>
  <si>
    <t>52wt</t>
  </si>
  <si>
    <t>200d Durchschnitt</t>
  </si>
  <si>
    <t>nächste Dividende</t>
  </si>
  <si>
    <t>USD</t>
  </si>
  <si>
    <t>GA9BJPHYSFYBYTJK</t>
  </si>
  <si>
    <t>PayPal</t>
  </si>
  <si>
    <t>&gt;Global Quote&gt;01. symbol</t>
  </si>
  <si>
    <t>&gt;Global Quote&gt;02. open</t>
  </si>
  <si>
    <t>&gt;Global Quote&gt;03. high</t>
  </si>
  <si>
    <t>&gt;Global Quote&gt;04. low</t>
  </si>
  <si>
    <t>&gt;Global Quote&gt;05. price</t>
  </si>
  <si>
    <t>&gt;Global Quote&gt;06. volume</t>
  </si>
  <si>
    <t>&gt;Global Quote&gt;07. latest trading day</t>
  </si>
  <si>
    <t>&gt;Global Quote&gt;08. previous close</t>
  </si>
  <si>
    <t>&gt;Global Quote&gt;09. change</t>
  </si>
  <si>
    <t>&gt;Global Quote&gt;10. change percent</t>
  </si>
  <si>
    <t>Ca. für 4 Monate Daten (= 100 Datenpunkte)</t>
  </si>
  <si>
    <t>Währung</t>
  </si>
  <si>
    <t>Euro</t>
  </si>
  <si>
    <t>EUR</t>
  </si>
  <si>
    <t>WENN JSON NICHT SO AUSSIEHT WURDE DIE API VERÄNDERT</t>
  </si>
  <si>
    <t>&gt;Realtime Currency Exchange Rate&gt;1. From_Currency Code</t>
  </si>
  <si>
    <t>&gt;Realtime Currency Exchange Rate&gt;2. From_Currency Name</t>
  </si>
  <si>
    <t>&gt;Realtime Currency Exchange Rate&gt;3. To_Currency Code</t>
  </si>
  <si>
    <t>&gt;Realtime Currency Exchange Rate&gt;4. To_Currency Name</t>
  </si>
  <si>
    <t>United States Dollar</t>
  </si>
  <si>
    <t>&gt;Realtime Currency Exchange Rate&gt;5. Exchange Rate</t>
  </si>
  <si>
    <t>&gt;Realtime Currency Exchange Rate&gt;6. Last Refreshed</t>
  </si>
  <si>
    <t>&gt;Realtime Currency Exchange Rate&gt;7. Time Zone</t>
  </si>
  <si>
    <t>UTC</t>
  </si>
  <si>
    <t>&gt;Realtime Currency Exchange Rate&gt;8. Bid Price</t>
  </si>
  <si>
    <t>&gt;Realtime Currency Exchange Rate&gt;9. Ask Price</t>
  </si>
  <si>
    <t>IMPLEMENTED</t>
  </si>
  <si>
    <t>BTC</t>
  </si>
  <si>
    <t>BRL</t>
  </si>
  <si>
    <t>FROM</t>
  </si>
  <si>
    <t>TO</t>
  </si>
  <si>
    <t>RESULT</t>
  </si>
  <si>
    <t>https://www.alphavantage.co/query?function=SYMBOL_SEARCH&amp;keywords=tencent&amp;apikey=GA9BJPHYSFYBYTJK</t>
  </si>
  <si>
    <t xml:space="preserve">    "bestMatches": [</t>
  </si>
  <si>
    <t xml:space="preserve">        {</t>
  </si>
  <si>
    <t xml:space="preserve">            "1. symbol": "TCEHY",</t>
  </si>
  <si>
    <t xml:space="preserve">            "2. name": "Tencent Holdings Ltd",</t>
  </si>
  <si>
    <t xml:space="preserve">            "3. type": "Equity",</t>
  </si>
  <si>
    <t xml:space="preserve">            "4. region": "United States",</t>
  </si>
  <si>
    <t xml:space="preserve">            "5. marketOpen": "09:30",</t>
  </si>
  <si>
    <t xml:space="preserve">            "6. marketClose": "16:00",</t>
  </si>
  <si>
    <t xml:space="preserve">            "7. timezone": "UTC-05",</t>
  </si>
  <si>
    <t xml:space="preserve">            "8. currency": "USD",</t>
  </si>
  <si>
    <t xml:space="preserve">            "9. matchScore": "0.5185"</t>
  </si>
  <si>
    <t xml:space="preserve">            "1. symbol": "TCTZF",</t>
  </si>
  <si>
    <t xml:space="preserve">            "1. symbol": "0Z4S.LON",</t>
  </si>
  <si>
    <t xml:space="preserve">            "2. name": "Tencent Holdings Limited",</t>
  </si>
  <si>
    <t xml:space="preserve">            "4. region": "United Kingdom",</t>
  </si>
  <si>
    <t xml:space="preserve">            "5. marketOpen": "08:00",</t>
  </si>
  <si>
    <t xml:space="preserve">            "6. marketClose": "16:30",</t>
  </si>
  <si>
    <t xml:space="preserve">            "7. timezone": "UTC+00",</t>
  </si>
  <si>
    <t xml:space="preserve">            "8. currency": "GBP",</t>
  </si>
  <si>
    <t xml:space="preserve">            "9. matchScore": "0.4516"</t>
  </si>
  <si>
    <t>HSBC</t>
  </si>
  <si>
    <t>LOG</t>
  </si>
  <si>
    <t>&gt;Meta Data&gt;1. Information</t>
  </si>
  <si>
    <t>Daily Time Series with Splits and Dividend Events</t>
  </si>
  <si>
    <t>&gt;Meta Data&gt;2. Symbol</t>
  </si>
  <si>
    <t>&gt;Meta Data&gt;3. Last Refreshed</t>
  </si>
  <si>
    <t>&gt;Meta Data&gt;4. Output Size</t>
  </si>
  <si>
    <t>Compact</t>
  </si>
  <si>
    <t>&gt;Meta Data&gt;5. Time Zone</t>
  </si>
  <si>
    <t>US/Eastern</t>
  </si>
  <si>
    <t>&gt;Time Series (Daily)&gt;2021-02-19&gt;1. open</t>
  </si>
  <si>
    <t>&gt;Time Series (Daily)&gt;2021-02-19&gt;2. high</t>
  </si>
  <si>
    <t>&gt;Time Series (Daily)&gt;2021-02-19&gt;3. low</t>
  </si>
  <si>
    <t>&gt;Time Series (Daily)&gt;2021-02-19&gt;4. close</t>
  </si>
  <si>
    <t>&gt;Time Series (Daily)&gt;2021-02-19&gt;5. adjusted close</t>
  </si>
  <si>
    <t>&gt;Time Series (Daily)&gt;2021-02-19&gt;6. volume</t>
  </si>
  <si>
    <t>&gt;Time Series (Daily)&gt;2021-02-19&gt;7. dividend amount</t>
  </si>
  <si>
    <t>&gt;Time Series (Daily)&gt;2021-02-19&gt;8. split coefficient</t>
  </si>
  <si>
    <t>&gt;Time Series (Daily)&gt;2021-02-18&gt;1. open</t>
  </si>
  <si>
    <t>&gt;Time Series (Daily)&gt;2021-02-18&gt;2. high</t>
  </si>
  <si>
    <t>&gt;Time Series (Daily)&gt;2021-02-18&gt;3. low</t>
  </si>
  <si>
    <t>&gt;Time Series (Daily)&gt;2021-02-18&gt;4. close</t>
  </si>
  <si>
    <t>&gt;Time Series (Daily)&gt;2021-02-18&gt;5. adjusted close</t>
  </si>
  <si>
    <t>&gt;Time Series (Daily)&gt;2021-02-18&gt;6. volume</t>
  </si>
  <si>
    <t>&gt;Time Series (Daily)&gt;2021-02-18&gt;7. dividend amount</t>
  </si>
  <si>
    <t>&gt;Time Series (Daily)&gt;2021-02-18&gt;8. split coefficient</t>
  </si>
  <si>
    <t>&gt;Time Series (Daily)&gt;2021-02-17&gt;1. open</t>
  </si>
  <si>
    <t>&gt;Time Series (Daily)&gt;2021-02-17&gt;2. high</t>
  </si>
  <si>
    <t>&gt;Time Series (Daily)&gt;2021-02-17&gt;3. low</t>
  </si>
  <si>
    <t>&gt;Time Series (Daily)&gt;2021-02-17&gt;4. close</t>
  </si>
  <si>
    <t>&gt;Time Series (Daily)&gt;2021-02-17&gt;5. adjusted close</t>
  </si>
  <si>
    <t>&gt;Time Series (Daily)&gt;2021-02-17&gt;6. volume</t>
  </si>
  <si>
    <t>&gt;Time Series (Daily)&gt;2021-02-17&gt;7. dividend amount</t>
  </si>
  <si>
    <t>&gt;Time Series (Daily)&gt;2021-02-17&gt;8. split coefficient</t>
  </si>
  <si>
    <t>&gt;Time Series (Daily)&gt;2021-02-16&gt;1. open</t>
  </si>
  <si>
    <t>&gt;Time Series (Daily)&gt;2021-02-16&gt;2. high</t>
  </si>
  <si>
    <t>&gt;Time Series (Daily)&gt;2021-02-16&gt;3. low</t>
  </si>
  <si>
    <t>&gt;Time Series (Daily)&gt;2021-02-16&gt;4. close</t>
  </si>
  <si>
    <t>&gt;Time Series (Daily)&gt;2021-02-16&gt;5. adjusted close</t>
  </si>
  <si>
    <t>&gt;Time Series (Daily)&gt;2021-02-16&gt;6. volume</t>
  </si>
  <si>
    <t>&gt;Time Series (Daily)&gt;2021-02-16&gt;7. dividend amount</t>
  </si>
  <si>
    <t>&gt;Time Series (Daily)&gt;2021-02-16&gt;8. split coefficient</t>
  </si>
  <si>
    <t>&gt;Time Series (Daily)&gt;2021-02-12&gt;1. open</t>
  </si>
  <si>
    <t>&gt;Time Series (Daily)&gt;2021-02-12&gt;2. high</t>
  </si>
  <si>
    <t>&gt;Time Series (Daily)&gt;2021-02-12&gt;3. low</t>
  </si>
  <si>
    <t>&gt;Time Series (Daily)&gt;2021-02-12&gt;4. close</t>
  </si>
  <si>
    <t>&gt;Time Series (Daily)&gt;2021-02-12&gt;5. adjusted close</t>
  </si>
  <si>
    <t>&gt;Time Series (Daily)&gt;2021-02-12&gt;6. volume</t>
  </si>
  <si>
    <t>&gt;Time Series (Daily)&gt;2021-02-12&gt;7. dividend amount</t>
  </si>
  <si>
    <t>&gt;Time Series (Daily)&gt;2021-02-12&gt;8. split coefficient</t>
  </si>
  <si>
    <t>&gt;Time Series (Daily)&gt;2021-02-11&gt;1. open</t>
  </si>
  <si>
    <t>&gt;Time Series (Daily)&gt;2021-02-11&gt;2. high</t>
  </si>
  <si>
    <t>&gt;Time Series (Daily)&gt;2021-02-11&gt;3. low</t>
  </si>
  <si>
    <t>&gt;Time Series (Daily)&gt;2021-02-11&gt;4. close</t>
  </si>
  <si>
    <t>&gt;Time Series (Daily)&gt;2021-02-11&gt;5. adjusted close</t>
  </si>
  <si>
    <t>&gt;Time Series (Daily)&gt;2021-02-11&gt;6. volume</t>
  </si>
  <si>
    <t>&gt;Time Series (Daily)&gt;2021-02-11&gt;7. dividend amount</t>
  </si>
  <si>
    <t>&gt;Time Series (Daily)&gt;2021-02-11&gt;8. split coefficient</t>
  </si>
  <si>
    <t>&gt;Time Series (Daily)&gt;2021-02-10&gt;1. open</t>
  </si>
  <si>
    <t>&gt;Time Series (Daily)&gt;2021-02-10&gt;2. high</t>
  </si>
  <si>
    <t>&gt;Time Series (Daily)&gt;2021-02-10&gt;3. low</t>
  </si>
  <si>
    <t>&gt;Time Series (Daily)&gt;2021-02-10&gt;4. close</t>
  </si>
  <si>
    <t>&gt;Time Series (Daily)&gt;2021-02-10&gt;5. adjusted close</t>
  </si>
  <si>
    <t>&gt;Time Series (Daily)&gt;2021-02-10&gt;6. volume</t>
  </si>
  <si>
    <t>&gt;Time Series (Daily)&gt;2021-02-10&gt;7. dividend amount</t>
  </si>
  <si>
    <t>&gt;Time Series (Daily)&gt;2021-02-10&gt;8. split coefficient</t>
  </si>
  <si>
    <t>&gt;Time Series (Daily)&gt;2021-02-09&gt;1. open</t>
  </si>
  <si>
    <t>&gt;Time Series (Daily)&gt;2021-02-09&gt;2. high</t>
  </si>
  <si>
    <t>&gt;Time Series (Daily)&gt;2021-02-09&gt;3. low</t>
  </si>
  <si>
    <t>&gt;Time Series (Daily)&gt;2021-02-09&gt;4. close</t>
  </si>
  <si>
    <t>&gt;Time Series (Daily)&gt;2021-02-09&gt;5. adjusted close</t>
  </si>
  <si>
    <t>&gt;Time Series (Daily)&gt;2021-02-09&gt;6. volume</t>
  </si>
  <si>
    <t>&gt;Time Series (Daily)&gt;2021-02-09&gt;7. dividend amount</t>
  </si>
  <si>
    <t>&gt;Time Series (Daily)&gt;2021-02-09&gt;8. split coefficient</t>
  </si>
  <si>
    <t>&gt;Time Series (Daily)&gt;2021-02-08&gt;1. open</t>
  </si>
  <si>
    <t>&gt;Time Series (Daily)&gt;2021-02-08&gt;2. high</t>
  </si>
  <si>
    <t>&gt;Time Series (Daily)&gt;2021-02-08&gt;3. low</t>
  </si>
  <si>
    <t>&gt;Time Series (Daily)&gt;2021-02-08&gt;4. close</t>
  </si>
  <si>
    <t>&gt;Time Series (Daily)&gt;2021-02-08&gt;5. adjusted close</t>
  </si>
  <si>
    <t>&gt;Time Series (Daily)&gt;2021-02-08&gt;6. volume</t>
  </si>
  <si>
    <t>&gt;Time Series (Daily)&gt;2021-02-08&gt;7. dividend amount</t>
  </si>
  <si>
    <t>&gt;Time Series (Daily)&gt;2021-02-08&gt;8. split coefficient</t>
  </si>
  <si>
    <t>&gt;Time Series (Daily)&gt;2021-02-05&gt;1. open</t>
  </si>
  <si>
    <t>&gt;Time Series (Daily)&gt;2021-02-05&gt;2. high</t>
  </si>
  <si>
    <t>&gt;Time Series (Daily)&gt;2021-02-05&gt;3. low</t>
  </si>
  <si>
    <t>&gt;Time Series (Daily)&gt;2021-02-05&gt;4. close</t>
  </si>
  <si>
    <t>&gt;Time Series (Daily)&gt;2021-02-05&gt;5. adjusted close</t>
  </si>
  <si>
    <t>&gt;Time Series (Daily)&gt;2021-02-05&gt;6. volume</t>
  </si>
  <si>
    <t>&gt;Time Series (Daily)&gt;2021-02-05&gt;7. dividend amount</t>
  </si>
  <si>
    <t>&gt;Time Series (Daily)&gt;2021-02-05&gt;8. split coefficient</t>
  </si>
  <si>
    <t>&gt;Time Series (Daily)&gt;2021-02-04&gt;1. open</t>
  </si>
  <si>
    <t>&gt;Time Series (Daily)&gt;2021-02-04&gt;2. high</t>
  </si>
  <si>
    <t>&gt;Time Series (Daily)&gt;2021-02-04&gt;3. low</t>
  </si>
  <si>
    <t>&gt;Time Series (Daily)&gt;2021-02-04&gt;4. close</t>
  </si>
  <si>
    <t>&gt;Time Series (Daily)&gt;2021-02-04&gt;5. adjusted close</t>
  </si>
  <si>
    <t>&gt;Time Series (Daily)&gt;2021-02-04&gt;6. volume</t>
  </si>
  <si>
    <t>&gt;Time Series (Daily)&gt;2021-02-04&gt;7. dividend amount</t>
  </si>
  <si>
    <t>&gt;Time Series (Daily)&gt;2021-02-04&gt;8. split coefficient</t>
  </si>
  <si>
    <t>&gt;Time Series (Daily)&gt;2021-02-03&gt;1. open</t>
  </si>
  <si>
    <t>&gt;Time Series (Daily)&gt;2021-02-03&gt;2. high</t>
  </si>
  <si>
    <t>&gt;Time Series (Daily)&gt;2021-02-03&gt;3. low</t>
  </si>
  <si>
    <t>&gt;Time Series (Daily)&gt;2021-02-03&gt;4. close</t>
  </si>
  <si>
    <t>&gt;Time Series (Daily)&gt;2021-02-03&gt;5. adjusted close</t>
  </si>
  <si>
    <t>&gt;Time Series (Daily)&gt;2021-02-03&gt;6. volume</t>
  </si>
  <si>
    <t>&gt;Time Series (Daily)&gt;2021-02-03&gt;7. dividend amount</t>
  </si>
  <si>
    <t>&gt;Time Series (Daily)&gt;2021-02-03&gt;8. split coefficient</t>
  </si>
  <si>
    <t>&gt;Time Series (Daily)&gt;2021-02-02&gt;1. open</t>
  </si>
  <si>
    <t>&gt;Time Series (Daily)&gt;2021-02-02&gt;2. high</t>
  </si>
  <si>
    <t>&gt;Time Series (Daily)&gt;2021-02-02&gt;3. low</t>
  </si>
  <si>
    <t>&gt;Time Series (Daily)&gt;2021-02-02&gt;4. close</t>
  </si>
  <si>
    <t>&gt;Time Series (Daily)&gt;2021-02-02&gt;5. adjusted close</t>
  </si>
  <si>
    <t>&gt;Time Series (Daily)&gt;2021-02-02&gt;6. volume</t>
  </si>
  <si>
    <t>&gt;Time Series (Daily)&gt;2021-02-02&gt;7. dividend amount</t>
  </si>
  <si>
    <t>&gt;Time Series (Daily)&gt;2021-02-02&gt;8. split coefficient</t>
  </si>
  <si>
    <t>&gt;Time Series (Daily)&gt;2021-02-01&gt;1. open</t>
  </si>
  <si>
    <t>&gt;Time Series (Daily)&gt;2021-02-01&gt;2. high</t>
  </si>
  <si>
    <t>&gt;Time Series (Daily)&gt;2021-02-01&gt;3. low</t>
  </si>
  <si>
    <t>&gt;Time Series (Daily)&gt;2021-02-01&gt;4. close</t>
  </si>
  <si>
    <t>&gt;Time Series (Daily)&gt;2021-02-01&gt;5. adjusted close</t>
  </si>
  <si>
    <t>&gt;Time Series (Daily)&gt;2021-02-01&gt;6. volume</t>
  </si>
  <si>
    <t>&gt;Time Series (Daily)&gt;2021-02-01&gt;7. dividend amount</t>
  </si>
  <si>
    <t>&gt;Time Series (Daily)&gt;2021-02-01&gt;8. split coefficient</t>
  </si>
  <si>
    <t>&gt;Time Series (Daily)&gt;2021-01-29&gt;1. open</t>
  </si>
  <si>
    <t>&gt;Time Series (Daily)&gt;2021-01-29&gt;2. high</t>
  </si>
  <si>
    <t>&gt;Time Series (Daily)&gt;2021-01-29&gt;3. low</t>
  </si>
  <si>
    <t>&gt;Time Series (Daily)&gt;2021-01-29&gt;4. close</t>
  </si>
  <si>
    <t>&gt;Time Series (Daily)&gt;2021-01-29&gt;5. adjusted close</t>
  </si>
  <si>
    <t>&gt;Time Series (Daily)&gt;2021-01-29&gt;6. volume</t>
  </si>
  <si>
    <t>&gt;Time Series (Daily)&gt;2021-01-29&gt;7. dividend amount</t>
  </si>
  <si>
    <t>&gt;Time Series (Daily)&gt;2021-01-29&gt;8. split coefficient</t>
  </si>
  <si>
    <t>&gt;Time Series (Daily)&gt;2021-01-28&gt;1. open</t>
  </si>
  <si>
    <t>&gt;Time Series (Daily)&gt;2021-01-28&gt;2. high</t>
  </si>
  <si>
    <t>&gt;Time Series (Daily)&gt;2021-01-28&gt;3. low</t>
  </si>
  <si>
    <t>&gt;Time Series (Daily)&gt;2021-01-28&gt;4. close</t>
  </si>
  <si>
    <t>&gt;Time Series (Daily)&gt;2021-01-28&gt;5. adjusted close</t>
  </si>
  <si>
    <t>&gt;Time Series (Daily)&gt;2021-01-28&gt;6. volume</t>
  </si>
  <si>
    <t>&gt;Time Series (Daily)&gt;2021-01-28&gt;7. dividend amount</t>
  </si>
  <si>
    <t>&gt;Time Series (Daily)&gt;2021-01-28&gt;8. split coefficient</t>
  </si>
  <si>
    <t>&gt;Time Series (Daily)&gt;2021-01-27&gt;1. open</t>
  </si>
  <si>
    <t>&gt;Time Series (Daily)&gt;2021-01-27&gt;2. high</t>
  </si>
  <si>
    <t>&gt;Time Series (Daily)&gt;2021-01-27&gt;3. low</t>
  </si>
  <si>
    <t>&gt;Time Series (Daily)&gt;2021-01-27&gt;4. close</t>
  </si>
  <si>
    <t>&gt;Time Series (Daily)&gt;2021-01-27&gt;5. adjusted close</t>
  </si>
  <si>
    <t>&gt;Time Series (Daily)&gt;2021-01-27&gt;6. volume</t>
  </si>
  <si>
    <t>&gt;Time Series (Daily)&gt;2021-01-27&gt;7. dividend amount</t>
  </si>
  <si>
    <t>&gt;Time Series (Daily)&gt;2021-01-27&gt;8. split coefficient</t>
  </si>
  <si>
    <t>&gt;Time Series (Daily)&gt;2021-01-26&gt;1. open</t>
  </si>
  <si>
    <t>&gt;Time Series (Daily)&gt;2021-01-26&gt;2. high</t>
  </si>
  <si>
    <t>&gt;Time Series (Daily)&gt;2021-01-26&gt;3. low</t>
  </si>
  <si>
    <t>&gt;Time Series (Daily)&gt;2021-01-26&gt;4. close</t>
  </si>
  <si>
    <t>&gt;Time Series (Daily)&gt;2021-01-26&gt;5. adjusted close</t>
  </si>
  <si>
    <t>&gt;Time Series (Daily)&gt;2021-01-26&gt;6. volume</t>
  </si>
  <si>
    <t>&gt;Time Series (Daily)&gt;2021-01-26&gt;7. dividend amount</t>
  </si>
  <si>
    <t>&gt;Time Series (Daily)&gt;2021-01-26&gt;8. split coefficient</t>
  </si>
  <si>
    <t>&gt;Time Series (Daily)&gt;2021-01-25&gt;1. open</t>
  </si>
  <si>
    <t>&gt;Time Series (Daily)&gt;2021-01-25&gt;2. high</t>
  </si>
  <si>
    <t>&gt;Time Series (Daily)&gt;2021-01-25&gt;3. low</t>
  </si>
  <si>
    <t>&gt;Time Series (Daily)&gt;2021-01-25&gt;4. close</t>
  </si>
  <si>
    <t>&gt;Time Series (Daily)&gt;2021-01-25&gt;5. adjusted close</t>
  </si>
  <si>
    <t>&gt;Time Series (Daily)&gt;2021-01-25&gt;6. volume</t>
  </si>
  <si>
    <t>&gt;Time Series (Daily)&gt;2021-01-25&gt;7. dividend amount</t>
  </si>
  <si>
    <t>&gt;Time Series (Daily)&gt;2021-01-25&gt;8. split coefficient</t>
  </si>
  <si>
    <t>&gt;Time Series (Daily)&gt;2021-01-22&gt;1. open</t>
  </si>
  <si>
    <t>&gt;Time Series (Daily)&gt;2021-01-22&gt;2. high</t>
  </si>
  <si>
    <t>&gt;Time Series (Daily)&gt;2021-01-22&gt;3. low</t>
  </si>
  <si>
    <t>&gt;Time Series (Daily)&gt;2021-01-22&gt;4. close</t>
  </si>
  <si>
    <t>&gt;Time Series (Daily)&gt;2021-01-22&gt;5. adjusted close</t>
  </si>
  <si>
    <t>&gt;Time Series (Daily)&gt;2021-01-22&gt;6. volume</t>
  </si>
  <si>
    <t>&gt;Time Series (Daily)&gt;2021-01-22&gt;7. dividend amount</t>
  </si>
  <si>
    <t>&gt;Time Series (Daily)&gt;2021-01-22&gt;8. split coefficient</t>
  </si>
  <si>
    <t>&gt;Time Series (Daily)&gt;2021-01-21&gt;1. open</t>
  </si>
  <si>
    <t>&gt;Time Series (Daily)&gt;2021-01-21&gt;2. high</t>
  </si>
  <si>
    <t>&gt;Time Series (Daily)&gt;2021-01-21&gt;3. low</t>
  </si>
  <si>
    <t>&gt;Time Series (Daily)&gt;2021-01-21&gt;4. close</t>
  </si>
  <si>
    <t>&gt;Time Series (Daily)&gt;2021-01-21&gt;5. adjusted close</t>
  </si>
  <si>
    <t>&gt;Time Series (Daily)&gt;2021-01-21&gt;6. volume</t>
  </si>
  <si>
    <t>&gt;Time Series (Daily)&gt;2021-01-21&gt;7. dividend amount</t>
  </si>
  <si>
    <t>&gt;Time Series (Daily)&gt;2021-01-21&gt;8. split coefficient</t>
  </si>
  <si>
    <t>&gt;Time Series (Daily)&gt;2021-01-20&gt;1. open</t>
  </si>
  <si>
    <t>&gt;Time Series (Daily)&gt;2021-01-20&gt;2. high</t>
  </si>
  <si>
    <t>&gt;Time Series (Daily)&gt;2021-01-20&gt;3. low</t>
  </si>
  <si>
    <t>&gt;Time Series (Daily)&gt;2021-01-20&gt;4. close</t>
  </si>
  <si>
    <t>&gt;Time Series (Daily)&gt;2021-01-20&gt;5. adjusted close</t>
  </si>
  <si>
    <t>&gt;Time Series (Daily)&gt;2021-01-20&gt;6. volume</t>
  </si>
  <si>
    <t>&gt;Time Series (Daily)&gt;2021-01-20&gt;7. dividend amount</t>
  </si>
  <si>
    <t>&gt;Time Series (Daily)&gt;2021-01-20&gt;8. split coefficient</t>
  </si>
  <si>
    <t>&gt;Time Series (Daily)&gt;2021-01-19&gt;1. open</t>
  </si>
  <si>
    <t>&gt;Time Series (Daily)&gt;2021-01-19&gt;2. high</t>
  </si>
  <si>
    <t>&gt;Time Series (Daily)&gt;2021-01-19&gt;3. low</t>
  </si>
  <si>
    <t>&gt;Time Series (Daily)&gt;2021-01-19&gt;4. close</t>
  </si>
  <si>
    <t>&gt;Time Series (Daily)&gt;2021-01-19&gt;5. adjusted close</t>
  </si>
  <si>
    <t>&gt;Time Series (Daily)&gt;2021-01-19&gt;6. volume</t>
  </si>
  <si>
    <t>&gt;Time Series (Daily)&gt;2021-01-19&gt;7. dividend amount</t>
  </si>
  <si>
    <t>&gt;Time Series (Daily)&gt;2021-01-19&gt;8. split coefficient</t>
  </si>
  <si>
    <t>&gt;Time Series (Daily)&gt;2021-01-15&gt;1. open</t>
  </si>
  <si>
    <t>&gt;Time Series (Daily)&gt;2021-01-15&gt;2. high</t>
  </si>
  <si>
    <t>&gt;Time Series (Daily)&gt;2021-01-15&gt;3. low</t>
  </si>
  <si>
    <t>&gt;Time Series (Daily)&gt;2021-01-15&gt;4. close</t>
  </si>
  <si>
    <t>&gt;Time Series (Daily)&gt;2021-01-15&gt;5. adjusted close</t>
  </si>
  <si>
    <t>&gt;Time Series (Daily)&gt;2021-01-15&gt;6. volume</t>
  </si>
  <si>
    <t>&gt;Time Series (Daily)&gt;2021-01-15&gt;7. dividend amount</t>
  </si>
  <si>
    <t>&gt;Time Series (Daily)&gt;2021-01-15&gt;8. split coefficient</t>
  </si>
  <si>
    <t>&gt;Time Series (Daily)&gt;2021-01-14&gt;1. open</t>
  </si>
  <si>
    <t>&gt;Time Series (Daily)&gt;2021-01-14&gt;2. high</t>
  </si>
  <si>
    <t>&gt;Time Series (Daily)&gt;2021-01-14&gt;3. low</t>
  </si>
  <si>
    <t>&gt;Time Series (Daily)&gt;2021-01-14&gt;4. close</t>
  </si>
  <si>
    <t>&gt;Time Series (Daily)&gt;2021-01-14&gt;5. adjusted close</t>
  </si>
  <si>
    <t>&gt;Time Series (Daily)&gt;2021-01-14&gt;6. volume</t>
  </si>
  <si>
    <t>&gt;Time Series (Daily)&gt;2021-01-14&gt;7. dividend amount</t>
  </si>
  <si>
    <t>&gt;Time Series (Daily)&gt;2021-01-14&gt;8. split coefficient</t>
  </si>
  <si>
    <t>&gt;Time Series (Daily)&gt;2021-01-13&gt;1. open</t>
  </si>
  <si>
    <t>&gt;Time Series (Daily)&gt;2021-01-13&gt;2. high</t>
  </si>
  <si>
    <t>&gt;Time Series (Daily)&gt;2021-01-13&gt;3. low</t>
  </si>
  <si>
    <t>&gt;Time Series (Daily)&gt;2021-01-13&gt;4. close</t>
  </si>
  <si>
    <t>&gt;Time Series (Daily)&gt;2021-01-13&gt;5. adjusted close</t>
  </si>
  <si>
    <t>&gt;Time Series (Daily)&gt;2021-01-13&gt;6. volume</t>
  </si>
  <si>
    <t>&gt;Time Series (Daily)&gt;2021-01-13&gt;7. dividend amount</t>
  </si>
  <si>
    <t>&gt;Time Series (Daily)&gt;2021-01-13&gt;8. split coefficient</t>
  </si>
  <si>
    <t>&gt;Time Series (Daily)&gt;2021-01-12&gt;1. open</t>
  </si>
  <si>
    <t>&gt;Time Series (Daily)&gt;2021-01-12&gt;2. high</t>
  </si>
  <si>
    <t>&gt;Time Series (Daily)&gt;2021-01-12&gt;3. low</t>
  </si>
  <si>
    <t>&gt;Time Series (Daily)&gt;2021-01-12&gt;4. close</t>
  </si>
  <si>
    <t>&gt;Time Series (Daily)&gt;2021-01-12&gt;5. adjusted close</t>
  </si>
  <si>
    <t>&gt;Time Series (Daily)&gt;2021-01-12&gt;6. volume</t>
  </si>
  <si>
    <t>&gt;Time Series (Daily)&gt;2021-01-12&gt;7. dividend amount</t>
  </si>
  <si>
    <t>&gt;Time Series (Daily)&gt;2021-01-12&gt;8. split coefficient</t>
  </si>
  <si>
    <t>&gt;Time Series (Daily)&gt;2021-01-11&gt;1. open</t>
  </si>
  <si>
    <t>&gt;Time Series (Daily)&gt;2021-01-11&gt;2. high</t>
  </si>
  <si>
    <t>&gt;Time Series (Daily)&gt;2021-01-11&gt;3. low</t>
  </si>
  <si>
    <t>&gt;Time Series (Daily)&gt;2021-01-11&gt;4. close</t>
  </si>
  <si>
    <t>&gt;Time Series (Daily)&gt;2021-01-11&gt;5. adjusted close</t>
  </si>
  <si>
    <t>&gt;Time Series (Daily)&gt;2021-01-11&gt;6. volume</t>
  </si>
  <si>
    <t>&gt;Time Series (Daily)&gt;2021-01-11&gt;7. dividend amount</t>
  </si>
  <si>
    <t>&gt;Time Series (Daily)&gt;2021-01-11&gt;8. split coefficient</t>
  </si>
  <si>
    <t>&gt;Time Series (Daily)&gt;2021-01-08&gt;1. open</t>
  </si>
  <si>
    <t>&gt;Time Series (Daily)&gt;2021-01-08&gt;2. high</t>
  </si>
  <si>
    <t>&gt;Time Series (Daily)&gt;2021-01-08&gt;3. low</t>
  </si>
  <si>
    <t>&gt;Time Series (Daily)&gt;2021-01-08&gt;4. close</t>
  </si>
  <si>
    <t>&gt;Time Series (Daily)&gt;2021-01-08&gt;5. adjusted close</t>
  </si>
  <si>
    <t>&gt;Time Series (Daily)&gt;2021-01-08&gt;6. volume</t>
  </si>
  <si>
    <t>&gt;Time Series (Daily)&gt;2021-01-08&gt;7. dividend amount</t>
  </si>
  <si>
    <t>&gt;Time Series (Daily)&gt;2021-01-08&gt;8. split coefficient</t>
  </si>
  <si>
    <t>&gt;Time Series (Daily)&gt;2021-01-07&gt;1. open</t>
  </si>
  <si>
    <t>&gt;Time Series (Daily)&gt;2021-01-07&gt;2. high</t>
  </si>
  <si>
    <t>&gt;Time Series (Daily)&gt;2021-01-07&gt;3. low</t>
  </si>
  <si>
    <t>&gt;Time Series (Daily)&gt;2021-01-07&gt;4. close</t>
  </si>
  <si>
    <t>&gt;Time Series (Daily)&gt;2021-01-07&gt;5. adjusted close</t>
  </si>
  <si>
    <t>&gt;Time Series (Daily)&gt;2021-01-07&gt;6. volume</t>
  </si>
  <si>
    <t>&gt;Time Series (Daily)&gt;2021-01-07&gt;7. dividend amount</t>
  </si>
  <si>
    <t>&gt;Time Series (Daily)&gt;2021-01-07&gt;8. split coefficient</t>
  </si>
  <si>
    <t>&gt;Time Series (Daily)&gt;2021-01-06&gt;1. open</t>
  </si>
  <si>
    <t>&gt;Time Series (Daily)&gt;2021-01-06&gt;2. high</t>
  </si>
  <si>
    <t>&gt;Time Series (Daily)&gt;2021-01-06&gt;3. low</t>
  </si>
  <si>
    <t>&gt;Time Series (Daily)&gt;2021-01-06&gt;4. close</t>
  </si>
  <si>
    <t>&gt;Time Series (Daily)&gt;2021-01-06&gt;5. adjusted close</t>
  </si>
  <si>
    <t>&gt;Time Series (Daily)&gt;2021-01-06&gt;6. volume</t>
  </si>
  <si>
    <t>&gt;Time Series (Daily)&gt;2021-01-06&gt;7. dividend amount</t>
  </si>
  <si>
    <t>&gt;Time Series (Daily)&gt;2021-01-06&gt;8. split coefficient</t>
  </si>
  <si>
    <t>&gt;Time Series (Daily)&gt;2021-01-05&gt;1. open</t>
  </si>
  <si>
    <t>&gt;Time Series (Daily)&gt;2021-01-05&gt;2. high</t>
  </si>
  <si>
    <t>&gt;Time Series (Daily)&gt;2021-01-05&gt;3. low</t>
  </si>
  <si>
    <t>&gt;Time Series (Daily)&gt;2021-01-05&gt;4. close</t>
  </si>
  <si>
    <t>&gt;Time Series (Daily)&gt;2021-01-05&gt;5. adjusted close</t>
  </si>
  <si>
    <t>&gt;Time Series (Daily)&gt;2021-01-05&gt;6. volume</t>
  </si>
  <si>
    <t>&gt;Time Series (Daily)&gt;2021-01-05&gt;7. dividend amount</t>
  </si>
  <si>
    <t>&gt;Time Series (Daily)&gt;2021-01-05&gt;8. split coefficient</t>
  </si>
  <si>
    <t>&gt;Time Series (Daily)&gt;2021-01-04&gt;1. open</t>
  </si>
  <si>
    <t>&gt;Time Series (Daily)&gt;2021-01-04&gt;2. high</t>
  </si>
  <si>
    <t>&gt;Time Series (Daily)&gt;2021-01-04&gt;3. low</t>
  </si>
  <si>
    <t>&gt;Time Series (Daily)&gt;2021-01-04&gt;4. close</t>
  </si>
  <si>
    <t>&gt;Time Series (Daily)&gt;2021-01-04&gt;5. adjusted close</t>
  </si>
  <si>
    <t>&gt;Time Series (Daily)&gt;2021-01-04&gt;6. volume</t>
  </si>
  <si>
    <t>&gt;Time Series (Daily)&gt;2021-01-04&gt;7. dividend amount</t>
  </si>
  <si>
    <t>&gt;Time Series (Daily)&gt;2021-01-04&gt;8. split coefficient</t>
  </si>
  <si>
    <t>&gt;Time Series (Daily)&gt;2020-12-31&gt;1. open</t>
  </si>
  <si>
    <t>&gt;Time Series (Daily)&gt;2020-12-31&gt;2. high</t>
  </si>
  <si>
    <t>&gt;Time Series (Daily)&gt;2020-12-31&gt;3. low</t>
  </si>
  <si>
    <t>&gt;Time Series (Daily)&gt;2020-12-31&gt;4. close</t>
  </si>
  <si>
    <t>&gt;Time Series (Daily)&gt;2020-12-31&gt;5. adjusted close</t>
  </si>
  <si>
    <t>&gt;Time Series (Daily)&gt;2020-12-31&gt;6. volume</t>
  </si>
  <si>
    <t>&gt;Time Series (Daily)&gt;2020-12-31&gt;7. dividend amount</t>
  </si>
  <si>
    <t>&gt;Time Series (Daily)&gt;2020-12-31&gt;8. split coefficient</t>
  </si>
  <si>
    <t>&gt;Time Series (Daily)&gt;2020-12-30&gt;1. open</t>
  </si>
  <si>
    <t>&gt;Time Series (Daily)&gt;2020-12-30&gt;2. high</t>
  </si>
  <si>
    <t>&gt;Time Series (Daily)&gt;2020-12-30&gt;3. low</t>
  </si>
  <si>
    <t>&gt;Time Series (Daily)&gt;2020-12-30&gt;4. close</t>
  </si>
  <si>
    <t>&gt;Time Series (Daily)&gt;2020-12-30&gt;5. adjusted close</t>
  </si>
  <si>
    <t>&gt;Time Series (Daily)&gt;2020-12-30&gt;6. volume</t>
  </si>
  <si>
    <t>&gt;Time Series (Daily)&gt;2020-12-30&gt;7. dividend amount</t>
  </si>
  <si>
    <t>&gt;Time Series (Daily)&gt;2020-12-30&gt;8. split coefficient</t>
  </si>
  <si>
    <t>&gt;Time Series (Daily)&gt;2020-12-29&gt;1. open</t>
  </si>
  <si>
    <t>&gt;Time Series (Daily)&gt;2020-12-29&gt;2. high</t>
  </si>
  <si>
    <t>&gt;Time Series (Daily)&gt;2020-12-29&gt;3. low</t>
  </si>
  <si>
    <t>&gt;Time Series (Daily)&gt;2020-12-29&gt;4. close</t>
  </si>
  <si>
    <t>&gt;Time Series (Daily)&gt;2020-12-29&gt;5. adjusted close</t>
  </si>
  <si>
    <t>&gt;Time Series (Daily)&gt;2020-12-29&gt;6. volume</t>
  </si>
  <si>
    <t>&gt;Time Series (Daily)&gt;2020-12-29&gt;7. dividend amount</t>
  </si>
  <si>
    <t>&gt;Time Series (Daily)&gt;2020-12-29&gt;8. split coefficient</t>
  </si>
  <si>
    <t>&gt;Time Series (Daily)&gt;2020-12-28&gt;1. open</t>
  </si>
  <si>
    <t>&gt;Time Series (Daily)&gt;2020-12-28&gt;2. high</t>
  </si>
  <si>
    <t>&gt;Time Series (Daily)&gt;2020-12-28&gt;3. low</t>
  </si>
  <si>
    <t>&gt;Time Series (Daily)&gt;2020-12-28&gt;4. close</t>
  </si>
  <si>
    <t>&gt;Time Series (Daily)&gt;2020-12-28&gt;5. adjusted close</t>
  </si>
  <si>
    <t>&gt;Time Series (Daily)&gt;2020-12-28&gt;6. volume</t>
  </si>
  <si>
    <t>&gt;Time Series (Daily)&gt;2020-12-28&gt;7. dividend amount</t>
  </si>
  <si>
    <t>&gt;Time Series (Daily)&gt;2020-12-28&gt;8. split coefficient</t>
  </si>
  <si>
    <t>&gt;Time Series (Daily)&gt;2020-12-24&gt;1. open</t>
  </si>
  <si>
    <t>&gt;Time Series (Daily)&gt;2020-12-24&gt;2. high</t>
  </si>
  <si>
    <t>&gt;Time Series (Daily)&gt;2020-12-24&gt;3. low</t>
  </si>
  <si>
    <t>&gt;Time Series (Daily)&gt;2020-12-24&gt;4. close</t>
  </si>
  <si>
    <t>&gt;Time Series (Daily)&gt;2020-12-24&gt;5. adjusted close</t>
  </si>
  <si>
    <t>&gt;Time Series (Daily)&gt;2020-12-24&gt;6. volume</t>
  </si>
  <si>
    <t>&gt;Time Series (Daily)&gt;2020-12-24&gt;7. dividend amount</t>
  </si>
  <si>
    <t>&gt;Time Series (Daily)&gt;2020-12-24&gt;8. split coefficient</t>
  </si>
  <si>
    <t>&gt;Time Series (Daily)&gt;2020-12-23&gt;1. open</t>
  </si>
  <si>
    <t>&gt;Time Series (Daily)&gt;2020-12-23&gt;2. high</t>
  </si>
  <si>
    <t>&gt;Time Series (Daily)&gt;2020-12-23&gt;3. low</t>
  </si>
  <si>
    <t>&gt;Time Series (Daily)&gt;2020-12-23&gt;4. close</t>
  </si>
  <si>
    <t>&gt;Time Series (Daily)&gt;2020-12-23&gt;5. adjusted close</t>
  </si>
  <si>
    <t>&gt;Time Series (Daily)&gt;2020-12-23&gt;6. volume</t>
  </si>
  <si>
    <t>&gt;Time Series (Daily)&gt;2020-12-23&gt;7. dividend amount</t>
  </si>
  <si>
    <t>&gt;Time Series (Daily)&gt;2020-12-23&gt;8. split coefficient</t>
  </si>
  <si>
    <t>&gt;Time Series (Daily)&gt;2020-12-22&gt;1. open</t>
  </si>
  <si>
    <t>&gt;Time Series (Daily)&gt;2020-12-22&gt;2. high</t>
  </si>
  <si>
    <t>&gt;Time Series (Daily)&gt;2020-12-22&gt;3. low</t>
  </si>
  <si>
    <t>&gt;Time Series (Daily)&gt;2020-12-22&gt;4. close</t>
  </si>
  <si>
    <t>&gt;Time Series (Daily)&gt;2020-12-22&gt;5. adjusted close</t>
  </si>
  <si>
    <t>&gt;Time Series (Daily)&gt;2020-12-22&gt;6. volume</t>
  </si>
  <si>
    <t>&gt;Time Series (Daily)&gt;2020-12-22&gt;7. dividend amount</t>
  </si>
  <si>
    <t>&gt;Time Series (Daily)&gt;2020-12-22&gt;8. split coefficient</t>
  </si>
  <si>
    <t>&gt;Time Series (Daily)&gt;2020-12-21&gt;1. open</t>
  </si>
  <si>
    <t>&gt;Time Series (Daily)&gt;2020-12-21&gt;2. high</t>
  </si>
  <si>
    <t>&gt;Time Series (Daily)&gt;2020-12-21&gt;3. low</t>
  </si>
  <si>
    <t>&gt;Time Series (Daily)&gt;2020-12-21&gt;4. close</t>
  </si>
  <si>
    <t>&gt;Time Series (Daily)&gt;2020-12-21&gt;5. adjusted close</t>
  </si>
  <si>
    <t>&gt;Time Series (Daily)&gt;2020-12-21&gt;6. volume</t>
  </si>
  <si>
    <t>&gt;Time Series (Daily)&gt;2020-12-21&gt;7. dividend amount</t>
  </si>
  <si>
    <t>&gt;Time Series (Daily)&gt;2020-12-21&gt;8. split coefficient</t>
  </si>
  <si>
    <t>&gt;Time Series (Daily)&gt;2020-12-18&gt;1. open</t>
  </si>
  <si>
    <t>&gt;Time Series (Daily)&gt;2020-12-18&gt;2. high</t>
  </si>
  <si>
    <t>&gt;Time Series (Daily)&gt;2020-12-18&gt;3. low</t>
  </si>
  <si>
    <t>&gt;Time Series (Daily)&gt;2020-12-18&gt;4. close</t>
  </si>
  <si>
    <t>&gt;Time Series (Daily)&gt;2020-12-18&gt;5. adjusted close</t>
  </si>
  <si>
    <t>&gt;Time Series (Daily)&gt;2020-12-18&gt;6. volume</t>
  </si>
  <si>
    <t>&gt;Time Series (Daily)&gt;2020-12-18&gt;7. dividend amount</t>
  </si>
  <si>
    <t>&gt;Time Series (Daily)&gt;2020-12-18&gt;8. split coefficient</t>
  </si>
  <si>
    <t>&gt;Time Series (Daily)&gt;2020-12-17&gt;1. open</t>
  </si>
  <si>
    <t>&gt;Time Series (Daily)&gt;2020-12-17&gt;2. high</t>
  </si>
  <si>
    <t>&gt;Time Series (Daily)&gt;2020-12-17&gt;3. low</t>
  </si>
  <si>
    <t>&gt;Time Series (Daily)&gt;2020-12-17&gt;4. close</t>
  </si>
  <si>
    <t>&gt;Time Series (Daily)&gt;2020-12-17&gt;5. adjusted close</t>
  </si>
  <si>
    <t>&gt;Time Series (Daily)&gt;2020-12-17&gt;6. volume</t>
  </si>
  <si>
    <t>&gt;Time Series (Daily)&gt;2020-12-17&gt;7. dividend amount</t>
  </si>
  <si>
    <t>&gt;Time Series (Daily)&gt;2020-12-17&gt;8. split coefficient</t>
  </si>
  <si>
    <t>&gt;Time Series (Daily)&gt;2020-12-16&gt;1. open</t>
  </si>
  <si>
    <t>&gt;Time Series (Daily)&gt;2020-12-16&gt;2. high</t>
  </si>
  <si>
    <t>&gt;Time Series (Daily)&gt;2020-12-16&gt;3. low</t>
  </si>
  <si>
    <t>&gt;Time Series (Daily)&gt;2020-12-16&gt;4. close</t>
  </si>
  <si>
    <t>&gt;Time Series (Daily)&gt;2020-12-16&gt;5. adjusted close</t>
  </si>
  <si>
    <t>&gt;Time Series (Daily)&gt;2020-12-16&gt;6. volume</t>
  </si>
  <si>
    <t>&gt;Time Series (Daily)&gt;2020-12-16&gt;7. dividend amount</t>
  </si>
  <si>
    <t>&gt;Time Series (Daily)&gt;2020-12-16&gt;8. split coefficient</t>
  </si>
  <si>
    <t>&gt;Time Series (Daily)&gt;2020-12-15&gt;1. open</t>
  </si>
  <si>
    <t>&gt;Time Series (Daily)&gt;2020-12-15&gt;2. high</t>
  </si>
  <si>
    <t>&gt;Time Series (Daily)&gt;2020-12-15&gt;3. low</t>
  </si>
  <si>
    <t>&gt;Time Series (Daily)&gt;2020-12-15&gt;4. close</t>
  </si>
  <si>
    <t>&gt;Time Series (Daily)&gt;2020-12-15&gt;5. adjusted close</t>
  </si>
  <si>
    <t>&gt;Time Series (Daily)&gt;2020-12-15&gt;6. volume</t>
  </si>
  <si>
    <t>&gt;Time Series (Daily)&gt;2020-12-15&gt;7. dividend amount</t>
  </si>
  <si>
    <t>&gt;Time Series (Daily)&gt;2020-12-15&gt;8. split coefficient</t>
  </si>
  <si>
    <t>&gt;Time Series (Daily)&gt;2020-12-14&gt;1. open</t>
  </si>
  <si>
    <t>&gt;Time Series (Daily)&gt;2020-12-14&gt;2. high</t>
  </si>
  <si>
    <t>&gt;Time Series (Daily)&gt;2020-12-14&gt;3. low</t>
  </si>
  <si>
    <t>&gt;Time Series (Daily)&gt;2020-12-14&gt;4. close</t>
  </si>
  <si>
    <t>&gt;Time Series (Daily)&gt;2020-12-14&gt;5. adjusted close</t>
  </si>
  <si>
    <t>&gt;Time Series (Daily)&gt;2020-12-14&gt;6. volume</t>
  </si>
  <si>
    <t>&gt;Time Series (Daily)&gt;2020-12-14&gt;7. dividend amount</t>
  </si>
  <si>
    <t>&gt;Time Series (Daily)&gt;2020-12-14&gt;8. split coefficient</t>
  </si>
  <si>
    <t>&gt;Time Series (Daily)&gt;2020-12-11&gt;1. open</t>
  </si>
  <si>
    <t>&gt;Time Series (Daily)&gt;2020-12-11&gt;2. high</t>
  </si>
  <si>
    <t>&gt;Time Series (Daily)&gt;2020-12-11&gt;3. low</t>
  </si>
  <si>
    <t>&gt;Time Series (Daily)&gt;2020-12-11&gt;4. close</t>
  </si>
  <si>
    <t>&gt;Time Series (Daily)&gt;2020-12-11&gt;5. adjusted close</t>
  </si>
  <si>
    <t>&gt;Time Series (Daily)&gt;2020-12-11&gt;6. volume</t>
  </si>
  <si>
    <t>&gt;Time Series (Daily)&gt;2020-12-11&gt;7. dividend amount</t>
  </si>
  <si>
    <t>&gt;Time Series (Daily)&gt;2020-12-11&gt;8. split coefficient</t>
  </si>
  <si>
    <t>&gt;Time Series (Daily)&gt;2020-12-10&gt;1. open</t>
  </si>
  <si>
    <t>&gt;Time Series (Daily)&gt;2020-12-10&gt;2. high</t>
  </si>
  <si>
    <t>&gt;Time Series (Daily)&gt;2020-12-10&gt;3. low</t>
  </si>
  <si>
    <t>&gt;Time Series (Daily)&gt;2020-12-10&gt;4. close</t>
  </si>
  <si>
    <t>&gt;Time Series (Daily)&gt;2020-12-10&gt;5. adjusted close</t>
  </si>
  <si>
    <t>&gt;Time Series (Daily)&gt;2020-12-10&gt;6. volume</t>
  </si>
  <si>
    <t>&gt;Time Series (Daily)&gt;2020-12-10&gt;7. dividend amount</t>
  </si>
  <si>
    <t>&gt;Time Series (Daily)&gt;2020-12-10&gt;8. split coefficient</t>
  </si>
  <si>
    <t>&gt;Time Series (Daily)&gt;2020-12-09&gt;1. open</t>
  </si>
  <si>
    <t>&gt;Time Series (Daily)&gt;2020-12-09&gt;2. high</t>
  </si>
  <si>
    <t>&gt;Time Series (Daily)&gt;2020-12-09&gt;3. low</t>
  </si>
  <si>
    <t>&gt;Time Series (Daily)&gt;2020-12-09&gt;4. close</t>
  </si>
  <si>
    <t>&gt;Time Series (Daily)&gt;2020-12-09&gt;5. adjusted close</t>
  </si>
  <si>
    <t>&gt;Time Series (Daily)&gt;2020-12-09&gt;6. volume</t>
  </si>
  <si>
    <t>&gt;Time Series (Daily)&gt;2020-12-09&gt;7. dividend amount</t>
  </si>
  <si>
    <t>&gt;Time Series (Daily)&gt;2020-12-09&gt;8. split coefficient</t>
  </si>
  <si>
    <t>&gt;Time Series (Daily)&gt;2020-12-08&gt;1. open</t>
  </si>
  <si>
    <t>&gt;Time Series (Daily)&gt;2020-12-08&gt;2. high</t>
  </si>
  <si>
    <t>&gt;Time Series (Daily)&gt;2020-12-08&gt;3. low</t>
  </si>
  <si>
    <t>&gt;Time Series (Daily)&gt;2020-12-08&gt;4. close</t>
  </si>
  <si>
    <t>&gt;Time Series (Daily)&gt;2020-12-08&gt;5. adjusted close</t>
  </si>
  <si>
    <t>&gt;Time Series (Daily)&gt;2020-12-08&gt;6. volume</t>
  </si>
  <si>
    <t>&gt;Time Series (Daily)&gt;2020-12-08&gt;7. dividend amount</t>
  </si>
  <si>
    <t>&gt;Time Series (Daily)&gt;2020-12-08&gt;8. split coefficient</t>
  </si>
  <si>
    <t>&gt;Time Series (Daily)&gt;2020-12-07&gt;1. open</t>
  </si>
  <si>
    <t>&gt;Time Series (Daily)&gt;2020-12-07&gt;2. high</t>
  </si>
  <si>
    <t>&gt;Time Series (Daily)&gt;2020-12-07&gt;3. low</t>
  </si>
  <si>
    <t>&gt;Time Series (Daily)&gt;2020-12-07&gt;4. close</t>
  </si>
  <si>
    <t>&gt;Time Series (Daily)&gt;2020-12-07&gt;5. adjusted close</t>
  </si>
  <si>
    <t>&gt;Time Series (Daily)&gt;2020-12-07&gt;6. volume</t>
  </si>
  <si>
    <t>&gt;Time Series (Daily)&gt;2020-12-07&gt;7. dividend amount</t>
  </si>
  <si>
    <t>&gt;Time Series (Daily)&gt;2020-12-07&gt;8. split coefficient</t>
  </si>
  <si>
    <t>&gt;Time Series (Daily)&gt;2020-12-04&gt;1. open</t>
  </si>
  <si>
    <t>&gt;Time Series (Daily)&gt;2020-12-04&gt;2. high</t>
  </si>
  <si>
    <t>&gt;Time Series (Daily)&gt;2020-12-04&gt;3. low</t>
  </si>
  <si>
    <t>&gt;Time Series (Daily)&gt;2020-12-04&gt;4. close</t>
  </si>
  <si>
    <t>&gt;Time Series (Daily)&gt;2020-12-04&gt;5. adjusted close</t>
  </si>
  <si>
    <t>&gt;Time Series (Daily)&gt;2020-12-04&gt;6. volume</t>
  </si>
  <si>
    <t>&gt;Time Series (Daily)&gt;2020-12-04&gt;7. dividend amount</t>
  </si>
  <si>
    <t>&gt;Time Series (Daily)&gt;2020-12-04&gt;8. split coefficient</t>
  </si>
  <si>
    <t>&gt;Time Series (Daily)&gt;2020-12-03&gt;1. open</t>
  </si>
  <si>
    <t>&gt;Time Series (Daily)&gt;2020-12-03&gt;2. high</t>
  </si>
  <si>
    <t>&gt;Time Series (Daily)&gt;2020-12-03&gt;3. low</t>
  </si>
  <si>
    <t>&gt;Time Series (Daily)&gt;2020-12-03&gt;4. close</t>
  </si>
  <si>
    <t>&gt;Time Series (Daily)&gt;2020-12-03&gt;5. adjusted close</t>
  </si>
  <si>
    <t>&gt;Time Series (Daily)&gt;2020-12-03&gt;6. volume</t>
  </si>
  <si>
    <t>&gt;Time Series (Daily)&gt;2020-12-03&gt;7. dividend amount</t>
  </si>
  <si>
    <t>&gt;Time Series (Daily)&gt;2020-12-03&gt;8. split coefficient</t>
  </si>
  <si>
    <t>&gt;Time Series (Daily)&gt;2020-12-02&gt;1. open</t>
  </si>
  <si>
    <t>&gt;Time Series (Daily)&gt;2020-12-02&gt;2. high</t>
  </si>
  <si>
    <t>&gt;Time Series (Daily)&gt;2020-12-02&gt;3. low</t>
  </si>
  <si>
    <t>&gt;Time Series (Daily)&gt;2020-12-02&gt;4. close</t>
  </si>
  <si>
    <t>&gt;Time Series (Daily)&gt;2020-12-02&gt;5. adjusted close</t>
  </si>
  <si>
    <t>&gt;Time Series (Daily)&gt;2020-12-02&gt;6. volume</t>
  </si>
  <si>
    <t>&gt;Time Series (Daily)&gt;2020-12-02&gt;7. dividend amount</t>
  </si>
  <si>
    <t>&gt;Time Series (Daily)&gt;2020-12-02&gt;8. split coefficient</t>
  </si>
  <si>
    <t>&gt;Time Series (Daily)&gt;2020-12-01&gt;1. open</t>
  </si>
  <si>
    <t>&gt;Time Series (Daily)&gt;2020-12-01&gt;2. high</t>
  </si>
  <si>
    <t>&gt;Time Series (Daily)&gt;2020-12-01&gt;3. low</t>
  </si>
  <si>
    <t>&gt;Time Series (Daily)&gt;2020-12-01&gt;4. close</t>
  </si>
  <si>
    <t>&gt;Time Series (Daily)&gt;2020-12-01&gt;5. adjusted close</t>
  </si>
  <si>
    <t>&gt;Time Series (Daily)&gt;2020-12-01&gt;6. volume</t>
  </si>
  <si>
    <t>&gt;Time Series (Daily)&gt;2020-12-01&gt;7. dividend amount</t>
  </si>
  <si>
    <t>&gt;Time Series (Daily)&gt;2020-12-01&gt;8. split coefficient</t>
  </si>
  <si>
    <t>&gt;Time Series (Daily)&gt;2020-11-30&gt;1. open</t>
  </si>
  <si>
    <t>&gt;Time Series (Daily)&gt;2020-11-30&gt;2. high</t>
  </si>
  <si>
    <t>&gt;Time Series (Daily)&gt;2020-11-30&gt;3. low</t>
  </si>
  <si>
    <t>&gt;Time Series (Daily)&gt;2020-11-30&gt;4. close</t>
  </si>
  <si>
    <t>&gt;Time Series (Daily)&gt;2020-11-30&gt;5. adjusted close</t>
  </si>
  <si>
    <t>&gt;Time Series (Daily)&gt;2020-11-30&gt;6. volume</t>
  </si>
  <si>
    <t>&gt;Time Series (Daily)&gt;2020-11-30&gt;7. dividend amount</t>
  </si>
  <si>
    <t>&gt;Time Series (Daily)&gt;2020-11-30&gt;8. split coefficient</t>
  </si>
  <si>
    <t>&gt;Time Series (Daily)&gt;2020-11-27&gt;1. open</t>
  </si>
  <si>
    <t>&gt;Time Series (Daily)&gt;2020-11-27&gt;2. high</t>
  </si>
  <si>
    <t>&gt;Time Series (Daily)&gt;2020-11-27&gt;3. low</t>
  </si>
  <si>
    <t>&gt;Time Series (Daily)&gt;2020-11-27&gt;4. close</t>
  </si>
  <si>
    <t>&gt;Time Series (Daily)&gt;2020-11-27&gt;5. adjusted close</t>
  </si>
  <si>
    <t>&gt;Time Series (Daily)&gt;2020-11-27&gt;6. volume</t>
  </si>
  <si>
    <t>&gt;Time Series (Daily)&gt;2020-11-27&gt;7. dividend amount</t>
  </si>
  <si>
    <t>&gt;Time Series (Daily)&gt;2020-11-27&gt;8. split coefficient</t>
  </si>
  <si>
    <t>&gt;Time Series (Daily)&gt;2020-11-25&gt;1. open</t>
  </si>
  <si>
    <t>&gt;Time Series (Daily)&gt;2020-11-25&gt;2. high</t>
  </si>
  <si>
    <t>&gt;Time Series (Daily)&gt;2020-11-25&gt;3. low</t>
  </si>
  <si>
    <t>&gt;Time Series (Daily)&gt;2020-11-25&gt;4. close</t>
  </si>
  <si>
    <t>&gt;Time Series (Daily)&gt;2020-11-25&gt;5. adjusted close</t>
  </si>
  <si>
    <t>&gt;Time Series (Daily)&gt;2020-11-25&gt;6. volume</t>
  </si>
  <si>
    <t>&gt;Time Series (Daily)&gt;2020-11-25&gt;7. dividend amount</t>
  </si>
  <si>
    <t>&gt;Time Series (Daily)&gt;2020-11-25&gt;8. split coefficient</t>
  </si>
  <si>
    <t>&gt;Time Series (Daily)&gt;2020-11-24&gt;1. open</t>
  </si>
  <si>
    <t>&gt;Time Series (Daily)&gt;2020-11-24&gt;2. high</t>
  </si>
  <si>
    <t>&gt;Time Series (Daily)&gt;2020-11-24&gt;3. low</t>
  </si>
  <si>
    <t>&gt;Time Series (Daily)&gt;2020-11-24&gt;4. close</t>
  </si>
  <si>
    <t>&gt;Time Series (Daily)&gt;2020-11-24&gt;5. adjusted close</t>
  </si>
  <si>
    <t>&gt;Time Series (Daily)&gt;2020-11-24&gt;6. volume</t>
  </si>
  <si>
    <t>&gt;Time Series (Daily)&gt;2020-11-24&gt;7. dividend amount</t>
  </si>
  <si>
    <t>&gt;Time Series (Daily)&gt;2020-11-24&gt;8. split coefficient</t>
  </si>
  <si>
    <t>&gt;Time Series (Daily)&gt;2020-11-23&gt;1. open</t>
  </si>
  <si>
    <t>&gt;Time Series (Daily)&gt;2020-11-23&gt;2. high</t>
  </si>
  <si>
    <t>&gt;Time Series (Daily)&gt;2020-11-23&gt;3. low</t>
  </si>
  <si>
    <t>&gt;Time Series (Daily)&gt;2020-11-23&gt;4. close</t>
  </si>
  <si>
    <t>&gt;Time Series (Daily)&gt;2020-11-23&gt;5. adjusted close</t>
  </si>
  <si>
    <t>&gt;Time Series (Daily)&gt;2020-11-23&gt;6. volume</t>
  </si>
  <si>
    <t>&gt;Time Series (Daily)&gt;2020-11-23&gt;7. dividend amount</t>
  </si>
  <si>
    <t>&gt;Time Series (Daily)&gt;2020-11-23&gt;8. split coefficient</t>
  </si>
  <si>
    <t>&gt;Time Series (Daily)&gt;2020-11-20&gt;1. open</t>
  </si>
  <si>
    <t>&gt;Time Series (Daily)&gt;2020-11-20&gt;2. high</t>
  </si>
  <si>
    <t>&gt;Time Series (Daily)&gt;2020-11-20&gt;3. low</t>
  </si>
  <si>
    <t>&gt;Time Series (Daily)&gt;2020-11-20&gt;4. close</t>
  </si>
  <si>
    <t>&gt;Time Series (Daily)&gt;2020-11-20&gt;5. adjusted close</t>
  </si>
  <si>
    <t>&gt;Time Series (Daily)&gt;2020-11-20&gt;6. volume</t>
  </si>
  <si>
    <t>&gt;Time Series (Daily)&gt;2020-11-20&gt;7. dividend amount</t>
  </si>
  <si>
    <t>&gt;Time Series (Daily)&gt;2020-11-20&gt;8. split coefficient</t>
  </si>
  <si>
    <t>&gt;Time Series (Daily)&gt;2020-11-19&gt;1. open</t>
  </si>
  <si>
    <t>&gt;Time Series (Daily)&gt;2020-11-19&gt;2. high</t>
  </si>
  <si>
    <t>&gt;Time Series (Daily)&gt;2020-11-19&gt;3. low</t>
  </si>
  <si>
    <t>&gt;Time Series (Daily)&gt;2020-11-19&gt;4. close</t>
  </si>
  <si>
    <t>&gt;Time Series (Daily)&gt;2020-11-19&gt;5. adjusted close</t>
  </si>
  <si>
    <t>&gt;Time Series (Daily)&gt;2020-11-19&gt;6. volume</t>
  </si>
  <si>
    <t>&gt;Time Series (Daily)&gt;2020-11-19&gt;7. dividend amount</t>
  </si>
  <si>
    <t>&gt;Time Series (Daily)&gt;2020-11-19&gt;8. split coefficient</t>
  </si>
  <si>
    <t>&gt;Time Series (Daily)&gt;2020-11-18&gt;1. open</t>
  </si>
  <si>
    <t>&gt;Time Series (Daily)&gt;2020-11-18&gt;2. high</t>
  </si>
  <si>
    <t>&gt;Time Series (Daily)&gt;2020-11-18&gt;3. low</t>
  </si>
  <si>
    <t>&gt;Time Series (Daily)&gt;2020-11-18&gt;4. close</t>
  </si>
  <si>
    <t>&gt;Time Series (Daily)&gt;2020-11-18&gt;5. adjusted close</t>
  </si>
  <si>
    <t>&gt;Time Series (Daily)&gt;2020-11-18&gt;6. volume</t>
  </si>
  <si>
    <t>&gt;Time Series (Daily)&gt;2020-11-18&gt;7. dividend amount</t>
  </si>
  <si>
    <t>&gt;Time Series (Daily)&gt;2020-11-18&gt;8. split coefficient</t>
  </si>
  <si>
    <t>&gt;Time Series (Daily)&gt;2020-11-17&gt;1. open</t>
  </si>
  <si>
    <t>&gt;Time Series (Daily)&gt;2020-11-17&gt;2. high</t>
  </si>
  <si>
    <t>&gt;Time Series (Daily)&gt;2020-11-17&gt;3. low</t>
  </si>
  <si>
    <t>&gt;Time Series (Daily)&gt;2020-11-17&gt;4. close</t>
  </si>
  <si>
    <t>&gt;Time Series (Daily)&gt;2020-11-17&gt;5. adjusted close</t>
  </si>
  <si>
    <t>&gt;Time Series (Daily)&gt;2020-11-17&gt;6. volume</t>
  </si>
  <si>
    <t>&gt;Time Series (Daily)&gt;2020-11-17&gt;7. dividend amount</t>
  </si>
  <si>
    <t>&gt;Time Series (Daily)&gt;2020-11-17&gt;8. split coefficient</t>
  </si>
  <si>
    <t>&gt;Time Series (Daily)&gt;2020-11-16&gt;1. open</t>
  </si>
  <si>
    <t>&gt;Time Series (Daily)&gt;2020-11-16&gt;2. high</t>
  </si>
  <si>
    <t>&gt;Time Series (Daily)&gt;2020-11-16&gt;3. low</t>
  </si>
  <si>
    <t>&gt;Time Series (Daily)&gt;2020-11-16&gt;4. close</t>
  </si>
  <si>
    <t>&gt;Time Series (Daily)&gt;2020-11-16&gt;5. adjusted close</t>
  </si>
  <si>
    <t>&gt;Time Series (Daily)&gt;2020-11-16&gt;6. volume</t>
  </si>
  <si>
    <t>&gt;Time Series (Daily)&gt;2020-11-16&gt;7. dividend amount</t>
  </si>
  <si>
    <t>&gt;Time Series (Daily)&gt;2020-11-16&gt;8. split coefficient</t>
  </si>
  <si>
    <t>&gt;Time Series (Daily)&gt;2020-11-13&gt;1. open</t>
  </si>
  <si>
    <t>&gt;Time Series (Daily)&gt;2020-11-13&gt;2. high</t>
  </si>
  <si>
    <t>&gt;Time Series (Daily)&gt;2020-11-13&gt;3. low</t>
  </si>
  <si>
    <t>&gt;Time Series (Daily)&gt;2020-11-13&gt;4. close</t>
  </si>
  <si>
    <t>&gt;Time Series (Daily)&gt;2020-11-13&gt;5. adjusted close</t>
  </si>
  <si>
    <t>&gt;Time Series (Daily)&gt;2020-11-13&gt;6. volume</t>
  </si>
  <si>
    <t>&gt;Time Series (Daily)&gt;2020-11-13&gt;7. dividend amount</t>
  </si>
  <si>
    <t>&gt;Time Series (Daily)&gt;2020-11-13&gt;8. split coefficient</t>
  </si>
  <si>
    <t>&gt;Time Series (Daily)&gt;2020-11-12&gt;1. open</t>
  </si>
  <si>
    <t>&gt;Time Series (Daily)&gt;2020-11-12&gt;2. high</t>
  </si>
  <si>
    <t>&gt;Time Series (Daily)&gt;2020-11-12&gt;3. low</t>
  </si>
  <si>
    <t>&gt;Time Series (Daily)&gt;2020-11-12&gt;4. close</t>
  </si>
  <si>
    <t>&gt;Time Series (Daily)&gt;2020-11-12&gt;5. adjusted close</t>
  </si>
  <si>
    <t>&gt;Time Series (Daily)&gt;2020-11-12&gt;6. volume</t>
  </si>
  <si>
    <t>&gt;Time Series (Daily)&gt;2020-11-12&gt;7. dividend amount</t>
  </si>
  <si>
    <t>&gt;Time Series (Daily)&gt;2020-11-12&gt;8. split coefficient</t>
  </si>
  <si>
    <t>&gt;Time Series (Daily)&gt;2020-11-11&gt;1. open</t>
  </si>
  <si>
    <t>&gt;Time Series (Daily)&gt;2020-11-11&gt;2. high</t>
  </si>
  <si>
    <t>&gt;Time Series (Daily)&gt;2020-11-11&gt;3. low</t>
  </si>
  <si>
    <t>&gt;Time Series (Daily)&gt;2020-11-11&gt;4. close</t>
  </si>
  <si>
    <t>&gt;Time Series (Daily)&gt;2020-11-11&gt;5. adjusted close</t>
  </si>
  <si>
    <t>&gt;Time Series (Daily)&gt;2020-11-11&gt;6. volume</t>
  </si>
  <si>
    <t>&gt;Time Series (Daily)&gt;2020-11-11&gt;7. dividend amount</t>
  </si>
  <si>
    <t>&gt;Time Series (Daily)&gt;2020-11-11&gt;8. split coefficient</t>
  </si>
  <si>
    <t>&gt;Time Series (Daily)&gt;2020-11-10&gt;1. open</t>
  </si>
  <si>
    <t>&gt;Time Series (Daily)&gt;2020-11-10&gt;2. high</t>
  </si>
  <si>
    <t>&gt;Time Series (Daily)&gt;2020-11-10&gt;3. low</t>
  </si>
  <si>
    <t>&gt;Time Series (Daily)&gt;2020-11-10&gt;4. close</t>
  </si>
  <si>
    <t>&gt;Time Series (Daily)&gt;2020-11-10&gt;5. adjusted close</t>
  </si>
  <si>
    <t>&gt;Time Series (Daily)&gt;2020-11-10&gt;6. volume</t>
  </si>
  <si>
    <t>&gt;Time Series (Daily)&gt;2020-11-10&gt;7. dividend amount</t>
  </si>
  <si>
    <t>&gt;Time Series (Daily)&gt;2020-11-10&gt;8. split coefficient</t>
  </si>
  <si>
    <t>&gt;Time Series (Daily)&gt;2020-11-09&gt;1. open</t>
  </si>
  <si>
    <t>&gt;Time Series (Daily)&gt;2020-11-09&gt;2. high</t>
  </si>
  <si>
    <t>&gt;Time Series (Daily)&gt;2020-11-09&gt;3. low</t>
  </si>
  <si>
    <t>&gt;Time Series (Daily)&gt;2020-11-09&gt;4. close</t>
  </si>
  <si>
    <t>&gt;Time Series (Daily)&gt;2020-11-09&gt;5. adjusted close</t>
  </si>
  <si>
    <t>&gt;Time Series (Daily)&gt;2020-11-09&gt;6. volume</t>
  </si>
  <si>
    <t>&gt;Time Series (Daily)&gt;2020-11-09&gt;7. dividend amount</t>
  </si>
  <si>
    <t>&gt;Time Series (Daily)&gt;2020-11-09&gt;8. split coefficient</t>
  </si>
  <si>
    <t>&gt;Time Series (Daily)&gt;2020-11-06&gt;1. open</t>
  </si>
  <si>
    <t>&gt;Time Series (Daily)&gt;2020-11-06&gt;2. high</t>
  </si>
  <si>
    <t>&gt;Time Series (Daily)&gt;2020-11-06&gt;3. low</t>
  </si>
  <si>
    <t>&gt;Time Series (Daily)&gt;2020-11-06&gt;4. close</t>
  </si>
  <si>
    <t>&gt;Time Series (Daily)&gt;2020-11-06&gt;5. adjusted close</t>
  </si>
  <si>
    <t>&gt;Time Series (Daily)&gt;2020-11-06&gt;6. volume</t>
  </si>
  <si>
    <t>&gt;Time Series (Daily)&gt;2020-11-06&gt;7. dividend amount</t>
  </si>
  <si>
    <t>&gt;Time Series (Daily)&gt;2020-11-06&gt;8. split coefficient</t>
  </si>
  <si>
    <t>&gt;Time Series (Daily)&gt;2020-11-05&gt;1. open</t>
  </si>
  <si>
    <t>&gt;Time Series (Daily)&gt;2020-11-05&gt;2. high</t>
  </si>
  <si>
    <t>&gt;Time Series (Daily)&gt;2020-11-05&gt;3. low</t>
  </si>
  <si>
    <t>&gt;Time Series (Daily)&gt;2020-11-05&gt;4. close</t>
  </si>
  <si>
    <t>&gt;Time Series (Daily)&gt;2020-11-05&gt;5. adjusted close</t>
  </si>
  <si>
    <t>&gt;Time Series (Daily)&gt;2020-11-05&gt;6. volume</t>
  </si>
  <si>
    <t>&gt;Time Series (Daily)&gt;2020-11-05&gt;7. dividend amount</t>
  </si>
  <si>
    <t>&gt;Time Series (Daily)&gt;2020-11-05&gt;8. split coefficient</t>
  </si>
  <si>
    <t>&gt;Time Series (Daily)&gt;2020-11-04&gt;1. open</t>
  </si>
  <si>
    <t>&gt;Time Series (Daily)&gt;2020-11-04&gt;2. high</t>
  </si>
  <si>
    <t>&gt;Time Series (Daily)&gt;2020-11-04&gt;3. low</t>
  </si>
  <si>
    <t>&gt;Time Series (Daily)&gt;2020-11-04&gt;4. close</t>
  </si>
  <si>
    <t>&gt;Time Series (Daily)&gt;2020-11-04&gt;5. adjusted close</t>
  </si>
  <si>
    <t>&gt;Time Series (Daily)&gt;2020-11-04&gt;6. volume</t>
  </si>
  <si>
    <t>&gt;Time Series (Daily)&gt;2020-11-04&gt;7. dividend amount</t>
  </si>
  <si>
    <t>&gt;Time Series (Daily)&gt;2020-11-04&gt;8. split coefficient</t>
  </si>
  <si>
    <t>&gt;Time Series (Daily)&gt;2020-11-03&gt;1. open</t>
  </si>
  <si>
    <t>&gt;Time Series (Daily)&gt;2020-11-03&gt;2. high</t>
  </si>
  <si>
    <t>&gt;Time Series (Daily)&gt;2020-11-03&gt;3. low</t>
  </si>
  <si>
    <t>&gt;Time Series (Daily)&gt;2020-11-03&gt;4. close</t>
  </si>
  <si>
    <t>&gt;Time Series (Daily)&gt;2020-11-03&gt;5. adjusted close</t>
  </si>
  <si>
    <t>&gt;Time Series (Daily)&gt;2020-11-03&gt;6. volume</t>
  </si>
  <si>
    <t>&gt;Time Series (Daily)&gt;2020-11-03&gt;7. dividend amount</t>
  </si>
  <si>
    <t>&gt;Time Series (Daily)&gt;2020-11-03&gt;8. split coefficient</t>
  </si>
  <si>
    <t>&gt;Time Series (Daily)&gt;2020-11-02&gt;1. open</t>
  </si>
  <si>
    <t>&gt;Time Series (Daily)&gt;2020-11-02&gt;2. high</t>
  </si>
  <si>
    <t>&gt;Time Series (Daily)&gt;2020-11-02&gt;3. low</t>
  </si>
  <si>
    <t>&gt;Time Series (Daily)&gt;2020-11-02&gt;4. close</t>
  </si>
  <si>
    <t>&gt;Time Series (Daily)&gt;2020-11-02&gt;5. adjusted close</t>
  </si>
  <si>
    <t>&gt;Time Series (Daily)&gt;2020-11-02&gt;6. volume</t>
  </si>
  <si>
    <t>&gt;Time Series (Daily)&gt;2020-11-02&gt;7. dividend amount</t>
  </si>
  <si>
    <t>&gt;Time Series (Daily)&gt;2020-11-02&gt;8. split coefficient</t>
  </si>
  <si>
    <t>&gt;Time Series (Daily)&gt;2020-10-30&gt;1. open</t>
  </si>
  <si>
    <t>&gt;Time Series (Daily)&gt;2020-10-30&gt;2. high</t>
  </si>
  <si>
    <t>&gt;Time Series (Daily)&gt;2020-10-30&gt;3. low</t>
  </si>
  <si>
    <t>&gt;Time Series (Daily)&gt;2020-10-30&gt;4. close</t>
  </si>
  <si>
    <t>&gt;Time Series (Daily)&gt;2020-10-30&gt;5. adjusted close</t>
  </si>
  <si>
    <t>&gt;Time Series (Daily)&gt;2020-10-30&gt;6. volume</t>
  </si>
  <si>
    <t>&gt;Time Series (Daily)&gt;2020-10-30&gt;7. dividend amount</t>
  </si>
  <si>
    <t>&gt;Time Series (Daily)&gt;2020-10-30&gt;8. split coefficient</t>
  </si>
  <si>
    <t>&gt;Time Series (Daily)&gt;2020-10-29&gt;1. open</t>
  </si>
  <si>
    <t>&gt;Time Series (Daily)&gt;2020-10-29&gt;2. high</t>
  </si>
  <si>
    <t>&gt;Time Series (Daily)&gt;2020-10-29&gt;3. low</t>
  </si>
  <si>
    <t>&gt;Time Series (Daily)&gt;2020-10-29&gt;4. close</t>
  </si>
  <si>
    <t>&gt;Time Series (Daily)&gt;2020-10-29&gt;5. adjusted close</t>
  </si>
  <si>
    <t>&gt;Time Series (Daily)&gt;2020-10-29&gt;6. volume</t>
  </si>
  <si>
    <t>&gt;Time Series (Daily)&gt;2020-10-29&gt;7. dividend amount</t>
  </si>
  <si>
    <t>&gt;Time Series (Daily)&gt;2020-10-29&gt;8. split coefficient</t>
  </si>
  <si>
    <t>&gt;Time Series (Daily)&gt;2020-10-28&gt;1. open</t>
  </si>
  <si>
    <t>&gt;Time Series (Daily)&gt;2020-10-28&gt;2. high</t>
  </si>
  <si>
    <t>&gt;Time Series (Daily)&gt;2020-10-28&gt;3. low</t>
  </si>
  <si>
    <t>&gt;Time Series (Daily)&gt;2020-10-28&gt;4. close</t>
  </si>
  <si>
    <t>&gt;Time Series (Daily)&gt;2020-10-28&gt;5. adjusted close</t>
  </si>
  <si>
    <t>&gt;Time Series (Daily)&gt;2020-10-28&gt;6. volume</t>
  </si>
  <si>
    <t>&gt;Time Series (Daily)&gt;2020-10-28&gt;7. dividend amount</t>
  </si>
  <si>
    <t>&gt;Time Series (Daily)&gt;2020-10-28&gt;8. split coefficient</t>
  </si>
  <si>
    <t>&gt;Time Series (Daily)&gt;2020-10-27&gt;1. open</t>
  </si>
  <si>
    <t>&gt;Time Series (Daily)&gt;2020-10-27&gt;2. high</t>
  </si>
  <si>
    <t>&gt;Time Series (Daily)&gt;2020-10-27&gt;3. low</t>
  </si>
  <si>
    <t>&gt;Time Series (Daily)&gt;2020-10-27&gt;4. close</t>
  </si>
  <si>
    <t>&gt;Time Series (Daily)&gt;2020-10-27&gt;5. adjusted close</t>
  </si>
  <si>
    <t>&gt;Time Series (Daily)&gt;2020-10-27&gt;6. volume</t>
  </si>
  <si>
    <t>&gt;Time Series (Daily)&gt;2020-10-27&gt;7. dividend amount</t>
  </si>
  <si>
    <t>&gt;Time Series (Daily)&gt;2020-10-27&gt;8. split coefficient</t>
  </si>
  <si>
    <t>&gt;Time Series (Daily)&gt;2020-10-26&gt;1. open</t>
  </si>
  <si>
    <t>&gt;Time Series (Daily)&gt;2020-10-26&gt;2. high</t>
  </si>
  <si>
    <t>&gt;Time Series (Daily)&gt;2020-10-26&gt;3. low</t>
  </si>
  <si>
    <t>&gt;Time Series (Daily)&gt;2020-10-26&gt;4. close</t>
  </si>
  <si>
    <t>&gt;Time Series (Daily)&gt;2020-10-26&gt;5. adjusted close</t>
  </si>
  <si>
    <t>&gt;Time Series (Daily)&gt;2020-10-26&gt;6. volume</t>
  </si>
  <si>
    <t>&gt;Time Series (Daily)&gt;2020-10-26&gt;7. dividend amount</t>
  </si>
  <si>
    <t>&gt;Time Series (Daily)&gt;2020-10-26&gt;8. split coefficient</t>
  </si>
  <si>
    <t>&gt;Time Series (Daily)&gt;2020-10-23&gt;1. open</t>
  </si>
  <si>
    <t>&gt;Time Series (Daily)&gt;2020-10-23&gt;2. high</t>
  </si>
  <si>
    <t>&gt;Time Series (Daily)&gt;2020-10-23&gt;3. low</t>
  </si>
  <si>
    <t>&gt;Time Series (Daily)&gt;2020-10-23&gt;4. close</t>
  </si>
  <si>
    <t>&gt;Time Series (Daily)&gt;2020-10-23&gt;5. adjusted close</t>
  </si>
  <si>
    <t>&gt;Time Series (Daily)&gt;2020-10-23&gt;6. volume</t>
  </si>
  <si>
    <t>&gt;Time Series (Daily)&gt;2020-10-23&gt;7. dividend amount</t>
  </si>
  <si>
    <t>&gt;Time Series (Daily)&gt;2020-10-23&gt;8. split coefficient</t>
  </si>
  <si>
    <t>&gt;Time Series (Daily)&gt;2020-10-22&gt;1. open</t>
  </si>
  <si>
    <t>&gt;Time Series (Daily)&gt;2020-10-22&gt;2. high</t>
  </si>
  <si>
    <t>&gt;Time Series (Daily)&gt;2020-10-22&gt;3. low</t>
  </si>
  <si>
    <t>&gt;Time Series (Daily)&gt;2020-10-22&gt;4. close</t>
  </si>
  <si>
    <t>&gt;Time Series (Daily)&gt;2020-10-22&gt;5. adjusted close</t>
  </si>
  <si>
    <t>&gt;Time Series (Daily)&gt;2020-10-22&gt;6. volume</t>
  </si>
  <si>
    <t>&gt;Time Series (Daily)&gt;2020-10-22&gt;7. dividend amount</t>
  </si>
  <si>
    <t>&gt;Time Series (Daily)&gt;2020-10-22&gt;8. split coefficient</t>
  </si>
  <si>
    <t>&gt;Time Series (Daily)&gt;2020-10-21&gt;1. open</t>
  </si>
  <si>
    <t>&gt;Time Series (Daily)&gt;2020-10-21&gt;2. high</t>
  </si>
  <si>
    <t>&gt;Time Series (Daily)&gt;2020-10-21&gt;3. low</t>
  </si>
  <si>
    <t>&gt;Time Series (Daily)&gt;2020-10-21&gt;4. close</t>
  </si>
  <si>
    <t>&gt;Time Series (Daily)&gt;2020-10-21&gt;5. adjusted close</t>
  </si>
  <si>
    <t>&gt;Time Series (Daily)&gt;2020-10-21&gt;6. volume</t>
  </si>
  <si>
    <t>&gt;Time Series (Daily)&gt;2020-10-21&gt;7. dividend amount</t>
  </si>
  <si>
    <t>&gt;Time Series (Daily)&gt;2020-10-21&gt;8. split coefficient</t>
  </si>
  <si>
    <t>&gt;Time Series (Daily)&gt;2020-10-20&gt;1. open</t>
  </si>
  <si>
    <t>&gt;Time Series (Daily)&gt;2020-10-20&gt;2. high</t>
  </si>
  <si>
    <t>&gt;Time Series (Daily)&gt;2020-10-20&gt;3. low</t>
  </si>
  <si>
    <t>&gt;Time Series (Daily)&gt;2020-10-20&gt;4. close</t>
  </si>
  <si>
    <t>&gt;Time Series (Daily)&gt;2020-10-20&gt;5. adjusted close</t>
  </si>
  <si>
    <t>&gt;Time Series (Daily)&gt;2020-10-20&gt;6. volume</t>
  </si>
  <si>
    <t>&gt;Time Series (Daily)&gt;2020-10-20&gt;7. dividend amount</t>
  </si>
  <si>
    <t>&gt;Time Series (Daily)&gt;2020-10-20&gt;8. split coefficient</t>
  </si>
  <si>
    <t>&gt;Time Series (Daily)&gt;2020-10-19&gt;1. open</t>
  </si>
  <si>
    <t>&gt;Time Series (Daily)&gt;2020-10-19&gt;2. high</t>
  </si>
  <si>
    <t>&gt;Time Series (Daily)&gt;2020-10-19&gt;3. low</t>
  </si>
  <si>
    <t>&gt;Time Series (Daily)&gt;2020-10-19&gt;4. close</t>
  </si>
  <si>
    <t>&gt;Time Series (Daily)&gt;2020-10-19&gt;5. adjusted close</t>
  </si>
  <si>
    <t>&gt;Time Series (Daily)&gt;2020-10-19&gt;6. volume</t>
  </si>
  <si>
    <t>&gt;Time Series (Daily)&gt;2020-10-19&gt;7. dividend amount</t>
  </si>
  <si>
    <t>&gt;Time Series (Daily)&gt;2020-10-19&gt;8. split coefficient</t>
  </si>
  <si>
    <t>&gt;Time Series (Daily)&gt;2020-10-16&gt;1. open</t>
  </si>
  <si>
    <t>&gt;Time Series (Daily)&gt;2020-10-16&gt;2. high</t>
  </si>
  <si>
    <t>&gt;Time Series (Daily)&gt;2020-10-16&gt;3. low</t>
  </si>
  <si>
    <t>&gt;Time Series (Daily)&gt;2020-10-16&gt;4. close</t>
  </si>
  <si>
    <t>&gt;Time Series (Daily)&gt;2020-10-16&gt;5. adjusted close</t>
  </si>
  <si>
    <t>&gt;Time Series (Daily)&gt;2020-10-16&gt;6. volume</t>
  </si>
  <si>
    <t>&gt;Time Series (Daily)&gt;2020-10-16&gt;7. dividend amount</t>
  </si>
  <si>
    <t>&gt;Time Series (Daily)&gt;2020-10-16&gt;8. split coefficient</t>
  </si>
  <si>
    <t>&gt;Time Series (Daily)&gt;2020-10-15&gt;1. open</t>
  </si>
  <si>
    <t>&gt;Time Series (Daily)&gt;2020-10-15&gt;2. high</t>
  </si>
  <si>
    <t>&gt;Time Series (Daily)&gt;2020-10-15&gt;3. low</t>
  </si>
  <si>
    <t>&gt;Time Series (Daily)&gt;2020-10-15&gt;4. close</t>
  </si>
  <si>
    <t>&gt;Time Series (Daily)&gt;2020-10-15&gt;5. adjusted close</t>
  </si>
  <si>
    <t>&gt;Time Series (Daily)&gt;2020-10-15&gt;6. volume</t>
  </si>
  <si>
    <t>&gt;Time Series (Daily)&gt;2020-10-15&gt;7. dividend amount</t>
  </si>
  <si>
    <t>&gt;Time Series (Daily)&gt;2020-10-15&gt;8. split coefficient</t>
  </si>
  <si>
    <t>&gt;Time Series (Daily)&gt;2020-10-14&gt;1. open</t>
  </si>
  <si>
    <t>&gt;Time Series (Daily)&gt;2020-10-14&gt;2. high</t>
  </si>
  <si>
    <t>&gt;Time Series (Daily)&gt;2020-10-14&gt;3. low</t>
  </si>
  <si>
    <t>&gt;Time Series (Daily)&gt;2020-10-14&gt;4. close</t>
  </si>
  <si>
    <t>&gt;Time Series (Daily)&gt;2020-10-14&gt;5. adjusted close</t>
  </si>
  <si>
    <t>&gt;Time Series (Daily)&gt;2020-10-14&gt;6. volume</t>
  </si>
  <si>
    <t>&gt;Time Series (Daily)&gt;2020-10-14&gt;7. dividend amount</t>
  </si>
  <si>
    <t>&gt;Time Series (Daily)&gt;2020-10-14&gt;8. split coefficient</t>
  </si>
  <si>
    <t>&gt;Time Series (Daily)&gt;2020-10-13&gt;1. open</t>
  </si>
  <si>
    <t>&gt;Time Series (Daily)&gt;2020-10-13&gt;2. high</t>
  </si>
  <si>
    <t>&gt;Time Series (Daily)&gt;2020-10-13&gt;3. low</t>
  </si>
  <si>
    <t>&gt;Time Series (Daily)&gt;2020-10-13&gt;4. close</t>
  </si>
  <si>
    <t>&gt;Time Series (Daily)&gt;2020-10-13&gt;5. adjusted close</t>
  </si>
  <si>
    <t>&gt;Time Series (Daily)&gt;2020-10-13&gt;6. volume</t>
  </si>
  <si>
    <t>&gt;Time Series (Daily)&gt;2020-10-13&gt;7. dividend amount</t>
  </si>
  <si>
    <t>&gt;Time Series (Daily)&gt;2020-10-13&gt;8. split coefficient</t>
  </si>
  <si>
    <t>&gt;Time Series (Daily)&gt;2020-10-12&gt;1. open</t>
  </si>
  <si>
    <t>&gt;Time Series (Daily)&gt;2020-10-12&gt;2. high</t>
  </si>
  <si>
    <t>&gt;Time Series (Daily)&gt;2020-10-12&gt;3. low</t>
  </si>
  <si>
    <t>&gt;Time Series (Daily)&gt;2020-10-12&gt;4. close</t>
  </si>
  <si>
    <t>&gt;Time Series (Daily)&gt;2020-10-12&gt;5. adjusted close</t>
  </si>
  <si>
    <t>&gt;Time Series (Daily)&gt;2020-10-12&gt;6. volume</t>
  </si>
  <si>
    <t>&gt;Time Series (Daily)&gt;2020-10-12&gt;7. dividend amount</t>
  </si>
  <si>
    <t>&gt;Time Series (Daily)&gt;2020-10-12&gt;8. split coefficient</t>
  </si>
  <si>
    <t>&gt;Time Series (Daily)&gt;2020-10-09&gt;1. open</t>
  </si>
  <si>
    <t>&gt;Time Series (Daily)&gt;2020-10-09&gt;2. high</t>
  </si>
  <si>
    <t>&gt;Time Series (Daily)&gt;2020-10-09&gt;3. low</t>
  </si>
  <si>
    <t>&gt;Time Series (Daily)&gt;2020-10-09&gt;4. close</t>
  </si>
  <si>
    <t>&gt;Time Series (Daily)&gt;2020-10-09&gt;5. adjusted close</t>
  </si>
  <si>
    <t>&gt;Time Series (Daily)&gt;2020-10-09&gt;6. volume</t>
  </si>
  <si>
    <t>&gt;Time Series (Daily)&gt;2020-10-09&gt;7. dividend amount</t>
  </si>
  <si>
    <t>&gt;Time Series (Daily)&gt;2020-10-09&gt;8. split coefficient</t>
  </si>
  <si>
    <t>&gt;Time Series (Daily)&gt;2020-10-08&gt;1. open</t>
  </si>
  <si>
    <t>&gt;Time Series (Daily)&gt;2020-10-08&gt;2. high</t>
  </si>
  <si>
    <t>&gt;Time Series (Daily)&gt;2020-10-08&gt;3. low</t>
  </si>
  <si>
    <t>&gt;Time Series (Daily)&gt;2020-10-08&gt;4. close</t>
  </si>
  <si>
    <t>&gt;Time Series (Daily)&gt;2020-10-08&gt;5. adjusted close</t>
  </si>
  <si>
    <t>&gt;Time Series (Daily)&gt;2020-10-08&gt;6. volume</t>
  </si>
  <si>
    <t>&gt;Time Series (Daily)&gt;2020-10-08&gt;7. dividend amount</t>
  </si>
  <si>
    <t>&gt;Time Series (Daily)&gt;2020-10-08&gt;8. split coefficient</t>
  </si>
  <si>
    <t>&gt;Time Series (Daily)&gt;2020-10-07&gt;1. open</t>
  </si>
  <si>
    <t>&gt;Time Series (Daily)&gt;2020-10-07&gt;2. high</t>
  </si>
  <si>
    <t>&gt;Time Series (Daily)&gt;2020-10-07&gt;3. low</t>
  </si>
  <si>
    <t>&gt;Time Series (Daily)&gt;2020-10-07&gt;4. close</t>
  </si>
  <si>
    <t>&gt;Time Series (Daily)&gt;2020-10-07&gt;5. adjusted close</t>
  </si>
  <si>
    <t>&gt;Time Series (Daily)&gt;2020-10-07&gt;6. volume</t>
  </si>
  <si>
    <t>&gt;Time Series (Daily)&gt;2020-10-07&gt;7. dividend amount</t>
  </si>
  <si>
    <t>&gt;Time Series (Daily)&gt;2020-10-07&gt;8. split coefficient</t>
  </si>
  <si>
    <t>&gt;Time Series (Daily)&gt;2020-10-06&gt;1. open</t>
  </si>
  <si>
    <t>&gt;Time Series (Daily)&gt;2020-10-06&gt;2. high</t>
  </si>
  <si>
    <t>&gt;Time Series (Daily)&gt;2020-10-06&gt;3. low</t>
  </si>
  <si>
    <t>&gt;Time Series (Daily)&gt;2020-10-06&gt;4. close</t>
  </si>
  <si>
    <t>&gt;Time Series (Daily)&gt;2020-10-06&gt;5. adjusted close</t>
  </si>
  <si>
    <t>&gt;Time Series (Daily)&gt;2020-10-06&gt;6. volume</t>
  </si>
  <si>
    <t>&gt;Time Series (Daily)&gt;2020-10-06&gt;7. dividend amount</t>
  </si>
  <si>
    <t>&gt;Time Series (Daily)&gt;2020-10-06&gt;8. split coefficient</t>
  </si>
  <si>
    <t>&gt;Time Series (Daily)&gt;2020-10-05&gt;1. open</t>
  </si>
  <si>
    <t>&gt;Time Series (Daily)&gt;2020-10-05&gt;2. high</t>
  </si>
  <si>
    <t>&gt;Time Series (Daily)&gt;2020-10-05&gt;3. low</t>
  </si>
  <si>
    <t>&gt;Time Series (Daily)&gt;2020-10-05&gt;4. close</t>
  </si>
  <si>
    <t>&gt;Time Series (Daily)&gt;2020-10-05&gt;5. adjusted close</t>
  </si>
  <si>
    <t>&gt;Time Series (Daily)&gt;2020-10-05&gt;6. volume</t>
  </si>
  <si>
    <t>&gt;Time Series (Daily)&gt;2020-10-05&gt;7. dividend amount</t>
  </si>
  <si>
    <t>&gt;Time Series (Daily)&gt;2020-10-05&gt;8. split coefficient</t>
  </si>
  <si>
    <t>&gt;Time Series (Daily)&gt;2020-10-02&gt;1. open</t>
  </si>
  <si>
    <t>&gt;Time Series (Daily)&gt;2020-10-02&gt;2. high</t>
  </si>
  <si>
    <t>&gt;Time Series (Daily)&gt;2020-10-02&gt;3. low</t>
  </si>
  <si>
    <t>&gt;Time Series (Daily)&gt;2020-10-02&gt;4. close</t>
  </si>
  <si>
    <t>&gt;Time Series (Daily)&gt;2020-10-02&gt;5. adjusted close</t>
  </si>
  <si>
    <t>&gt;Time Series (Daily)&gt;2020-10-02&gt;6. volume</t>
  </si>
  <si>
    <t>&gt;Time Series (Daily)&gt;2020-10-02&gt;7. dividend amount</t>
  </si>
  <si>
    <t>&gt;Time Series (Daily)&gt;2020-10-02&gt;8. split coefficient</t>
  </si>
  <si>
    <t>&gt;Time Series (Daily)&gt;2020-10-01&gt;1. open</t>
  </si>
  <si>
    <t>&gt;Time Series (Daily)&gt;2020-10-01&gt;2. high</t>
  </si>
  <si>
    <t>&gt;Time Series (Daily)&gt;2020-10-01&gt;3. low</t>
  </si>
  <si>
    <t>&gt;Time Series (Daily)&gt;2020-10-01&gt;4. close</t>
  </si>
  <si>
    <t>&gt;Time Series (Daily)&gt;2020-10-01&gt;5. adjusted close</t>
  </si>
  <si>
    <t>&gt;Time Series (Daily)&gt;2020-10-01&gt;6. volume</t>
  </si>
  <si>
    <t>&gt;Time Series (Daily)&gt;2020-10-01&gt;7. dividend amount</t>
  </si>
  <si>
    <t>&gt;Time Series (Daily)&gt;2020-10-01&gt;8. split coefficient</t>
  </si>
  <si>
    <t>&gt;Time Series (Daily)&gt;2020-09-30&gt;1. open</t>
  </si>
  <si>
    <t>&gt;Time Series (Daily)&gt;2020-09-30&gt;2. high</t>
  </si>
  <si>
    <t>&gt;Time Series (Daily)&gt;2020-09-30&gt;3. low</t>
  </si>
  <si>
    <t>&gt;Time Series (Daily)&gt;2020-09-30&gt;4. close</t>
  </si>
  <si>
    <t>&gt;Time Series (Daily)&gt;2020-09-30&gt;5. adjusted close</t>
  </si>
  <si>
    <t>&gt;Time Series (Daily)&gt;2020-09-30&gt;6. volume</t>
  </si>
  <si>
    <t>&gt;Time Series (Daily)&gt;2020-09-30&gt;7. dividend amount</t>
  </si>
  <si>
    <t>&gt;Time Series (Daily)&gt;2020-09-30&gt;8. split coefficient</t>
  </si>
  <si>
    <t>&gt;Time Series (Daily)&gt;2020-09-29&gt;1. open</t>
  </si>
  <si>
    <t>&gt;Time Series (Daily)&gt;2020-09-29&gt;2. high</t>
  </si>
  <si>
    <t>&gt;Time Series (Daily)&gt;2020-09-29&gt;3. low</t>
  </si>
  <si>
    <t>&gt;Time Series (Daily)&gt;2020-09-29&gt;4. close</t>
  </si>
  <si>
    <t>&gt;Time Series (Daily)&gt;2020-09-29&gt;5. adjusted close</t>
  </si>
  <si>
    <t>&gt;Time Series (Daily)&gt;2020-09-29&gt;6. volume</t>
  </si>
  <si>
    <t>&gt;Time Series (Daily)&gt;2020-09-29&gt;7. dividend amount</t>
  </si>
  <si>
    <t>&gt;Time Series (Daily)&gt;2020-09-29&gt;8. split coefficient</t>
  </si>
  <si>
    <t>&gt;Time Series (Daily)&gt;2020-09-28&gt;1. open</t>
  </si>
  <si>
    <t>&gt;Time Series (Daily)&gt;2020-09-28&gt;2. high</t>
  </si>
  <si>
    <t>&gt;Time Series (Daily)&gt;2020-09-28&gt;3. low</t>
  </si>
  <si>
    <t>&gt;Time Series (Daily)&gt;2020-09-28&gt;4. close</t>
  </si>
  <si>
    <t>&gt;Time Series (Daily)&gt;2020-09-28&gt;5. adjusted close</t>
  </si>
  <si>
    <t>&gt;Time Series (Daily)&gt;2020-09-28&gt;6. volume</t>
  </si>
  <si>
    <t>&gt;Time Series (Daily)&gt;2020-09-28&gt;7. dividend amount</t>
  </si>
  <si>
    <t>&gt;Time Series (Daily)&gt;2020-09-28&gt;8. split coefficient</t>
  </si>
  <si>
    <t>MIN</t>
  </si>
  <si>
    <t>MAX</t>
  </si>
  <si>
    <t>MIN [Währung]</t>
  </si>
  <si>
    <t>MAX [Währung]</t>
  </si>
  <si>
    <t>MIN [€]</t>
  </si>
  <si>
    <t>MAX [€]</t>
  </si>
  <si>
    <t>Hinweis:Lädt alle Daten für Jahre zurück =&gt; dauert zum Download sehr lange =&gt; aktuell nicht praktikabel</t>
  </si>
  <si>
    <t>Datensätze</t>
  </si>
  <si>
    <t>SUMME</t>
  </si>
  <si>
    <t>Durchschnitt</t>
  </si>
  <si>
    <t>100T</t>
  </si>
  <si>
    <t>HILFSSPALTE</t>
  </si>
  <si>
    <t>DIA</t>
  </si>
  <si>
    <t>IST_MAX_Delta[%]</t>
  </si>
  <si>
    <t>IST_MIN_Delta[%]</t>
  </si>
  <si>
    <t>BP</t>
  </si>
  <si>
    <t>1. LOG SPALTE LEEREN</t>
  </si>
  <si>
    <t>2. BUTTON DRÜCKEN</t>
  </si>
  <si>
    <t>KORREKTURFAKTOR</t>
  </si>
  <si>
    <t>1. GetCurrency</t>
  </si>
  <si>
    <t>2. SPALTE C LEEREN</t>
  </si>
  <si>
    <t>3. SPALTEN GH LEEREN</t>
  </si>
  <si>
    <t>4. GLOBALQUOTE=&gt; GLOBAL_QUOTE_ROUTINE</t>
  </si>
  <si>
    <t>5. TIME_SERIES_DAILY_ADJUSTED =&gt; ROUTINE</t>
  </si>
  <si>
    <t>Siemens</t>
  </si>
  <si>
    <t>Procter&amp;Gamble</t>
  </si>
  <si>
    <t>SIE.FRK</t>
  </si>
  <si>
    <t>Coca Cola</t>
  </si>
  <si>
    <t>Rio Tinto</t>
  </si>
  <si>
    <t>KO</t>
  </si>
  <si>
    <t>RIO</t>
  </si>
  <si>
    <t>DWS Group</t>
  </si>
  <si>
    <t>DWS.DEX</t>
  </si>
  <si>
    <t>Berkshire Hathaway</t>
  </si>
  <si>
    <t>Chevron</t>
  </si>
  <si>
    <t>CVX</t>
  </si>
  <si>
    <t>PEP</t>
  </si>
  <si>
    <t>Taiwan Semiconductor</t>
  </si>
  <si>
    <t>TSM</t>
  </si>
  <si>
    <t>BRK-B</t>
  </si>
  <si>
    <t>READING T</t>
  </si>
  <si>
    <t>READING BP</t>
  </si>
  <si>
    <t>READING BAS.FRK</t>
  </si>
  <si>
    <t>READING ALV.FRK</t>
  </si>
  <si>
    <t>READING SIE.FRK</t>
  </si>
  <si>
    <t>READING PG</t>
  </si>
  <si>
    <t>READING HBCYF</t>
  </si>
  <si>
    <t>READING PYPL</t>
  </si>
  <si>
    <t>READING NNND.FRK</t>
  </si>
  <si>
    <t>READING DTE.FRK</t>
  </si>
  <si>
    <t>READING MSFT</t>
  </si>
  <si>
    <t>READING PFE</t>
  </si>
  <si>
    <t>READING ISPA.FRK</t>
  </si>
  <si>
    <t>READING GOOGL</t>
  </si>
  <si>
    <t>READING IQQW.DEX</t>
  </si>
  <si>
    <t>READING IMSIF</t>
  </si>
  <si>
    <t>READING JD</t>
  </si>
  <si>
    <t>READING SAP.FRK</t>
  </si>
  <si>
    <t>READING DIA</t>
  </si>
  <si>
    <t>READING KO</t>
  </si>
  <si>
    <t>READING RIO</t>
  </si>
  <si>
    <t>READING DWS.DEX</t>
  </si>
  <si>
    <t>READING CVX</t>
  </si>
  <si>
    <t>READING PEP</t>
  </si>
  <si>
    <t>READING TSM</t>
  </si>
  <si>
    <t>READING BRK-B</t>
  </si>
  <si>
    <t>MIN_MAX%</t>
  </si>
  <si>
    <t>d</t>
  </si>
  <si>
    <t>PROCESSING</t>
  </si>
  <si>
    <t>Coinbase</t>
  </si>
  <si>
    <t>COIN</t>
  </si>
  <si>
    <t>READING COIN</t>
  </si>
  <si>
    <t>Verizon</t>
  </si>
  <si>
    <t>VZ</t>
  </si>
  <si>
    <t>READING VZ</t>
  </si>
  <si>
    <t>READING AMZN</t>
  </si>
  <si>
    <t>DOW</t>
  </si>
  <si>
    <t>SE</t>
  </si>
  <si>
    <t>READING DOW</t>
  </si>
  <si>
    <t>READING SE</t>
  </si>
  <si>
    <t>Daily Prices (open, high, low, close) and Volumes</t>
  </si>
  <si>
    <t>NVDA</t>
  </si>
  <si>
    <t>Nvidia</t>
  </si>
  <si>
    <t>READING NVDA</t>
  </si>
  <si>
    <t>China Mobile</t>
  </si>
  <si>
    <t>CTM.F</t>
  </si>
  <si>
    <t>READING CTM.F</t>
  </si>
  <si>
    <t>PRIMÄRSCHLÜSSEL</t>
  </si>
  <si>
    <t>O</t>
  </si>
  <si>
    <t>READING O</t>
  </si>
  <si>
    <t>ZEILE EINGANGSDATEN</t>
  </si>
  <si>
    <t>JP Morgan Chase</t>
  </si>
  <si>
    <t>JPM</t>
  </si>
  <si>
    <t>McDonalds</t>
  </si>
  <si>
    <t>MCD</t>
  </si>
  <si>
    <t>Blackrock</t>
  </si>
  <si>
    <t>BLK</t>
  </si>
  <si>
    <t>Goldman Sachs</t>
  </si>
  <si>
    <t>GS</t>
  </si>
  <si>
    <t>Dow Jones</t>
  </si>
  <si>
    <t>Dow Chemical</t>
  </si>
  <si>
    <t>Deutsche Telekom</t>
  </si>
  <si>
    <t>name</t>
  </si>
  <si>
    <t>iShares Global Select Dividend</t>
  </si>
  <si>
    <t>RealtyIncome</t>
  </si>
  <si>
    <t>Pepsi</t>
  </si>
  <si>
    <t>SAP AG</t>
  </si>
  <si>
    <t>Sea Ltd</t>
  </si>
  <si>
    <t xml:space="preserve">        "1: Symbol": "IBM",</t>
  </si>
  <si>
    <t xml:space="preserve">        "3: Last Refreshed": "2022-02-01",</t>
  </si>
  <si>
    <t xml:space="preserve">        "4: Interval": "weekly",</t>
  </si>
  <si>
    <t xml:space="preserve">        "2022-02-01": {</t>
  </si>
  <si>
    <t xml:space="preserve">            "SMA": "128.1700"</t>
  </si>
  <si>
    <t xml:space="preserve">        "2022-01-28": {</t>
  </si>
  <si>
    <t xml:space="preserve">            "SMA": "126.3610"</t>
  </si>
  <si>
    <t xml:space="preserve">        "2022-01-21": {</t>
  </si>
  <si>
    <t xml:space="preserve">            "SMA": "125.5160"</t>
  </si>
  <si>
    <t xml:space="preserve">        "2022-01-14": {</t>
  </si>
  <si>
    <t xml:space="preserve">            "SMA": "124.4535"</t>
  </si>
  <si>
    <t xml:space="preserve">        "2022-01-07": {</t>
  </si>
  <si>
    <t xml:space="preserve">            "SMA": "122.8015"</t>
  </si>
  <si>
    <t xml:space="preserve">        "2021-12-31": {</t>
  </si>
  <si>
    <t xml:space="preserve">            "SMA": "121.4234"</t>
  </si>
  <si>
    <t xml:space="preserve">        "2021-12-23": {</t>
  </si>
  <si>
    <t xml:space="preserve">            "SMA": "121.9428"</t>
  </si>
  <si>
    <t xml:space="preserve">        "2021-12-17": {</t>
  </si>
  <si>
    <t xml:space="preserve">            "SMA": "122.9061"</t>
  </si>
  <si>
    <t xml:space="preserve">        "2021-12-10": {</t>
  </si>
  <si>
    <t xml:space="preserve">            "SMA": "123.9936"</t>
  </si>
  <si>
    <t xml:space="preserve">        "2021-12-03": {</t>
  </si>
  <si>
    <t xml:space="preserve">            "SMA": "125.0663"</t>
  </si>
  <si>
    <t xml:space="preserve">        "2021-11-26": {</t>
  </si>
  <si>
    <t xml:space="preserve">            "SMA": "125.8341"</t>
  </si>
  <si>
    <t xml:space="preserve">        "2021-11-19": {</t>
  </si>
  <si>
    <t xml:space="preserve">            "SMA": "127.2883"</t>
  </si>
  <si>
    <t xml:space="preserve">        "2021-11-12": {</t>
  </si>
  <si>
    <t xml:space="preserve">            "SMA": "128.5064"</t>
  </si>
  <si>
    <t xml:space="preserve">        "2021-11-05": {</t>
  </si>
  <si>
    <t xml:space="preserve">            "SMA": "129.4319"</t>
  </si>
  <si>
    <t xml:space="preserve">        "2021-10-29": {</t>
  </si>
  <si>
    <t xml:space="preserve">            "SMA": "130.8062"</t>
  </si>
  <si>
    <t xml:space="preserve">        "2021-10-22": {</t>
  </si>
  <si>
    <t xml:space="preserve">            "SMA": "132.2870"</t>
  </si>
  <si>
    <t xml:space="preserve">        "2021-10-15": {</t>
  </si>
  <si>
    <t xml:space="preserve">            "SMA": "132.1172"</t>
  </si>
  <si>
    <t xml:space="preserve">        "2021-10-08": {</t>
  </si>
  <si>
    <t xml:space="preserve">            "SMA": "131.7707"</t>
  </si>
  <si>
    <t xml:space="preserve">        "2021-10-01": {</t>
  </si>
  <si>
    <t xml:space="preserve">            "SMA": "131.4903"</t>
  </si>
  <si>
    <t xml:space="preserve">        "2021-09-24": {</t>
  </si>
  <si>
    <t xml:space="preserve">            "SMA": "131.2002"</t>
  </si>
  <si>
    <t xml:space="preserve">        "2021-09-17": {</t>
  </si>
  <si>
    <t xml:space="preserve">            "SMA": "131.7573"</t>
  </si>
  <si>
    <t xml:space="preserve">        "2021-09-10": {</t>
  </si>
  <si>
    <t xml:space="preserve">            "SMA": "131.7558"</t>
  </si>
  <si>
    <t xml:space="preserve">        "2021-09-03": {</t>
  </si>
  <si>
    <t xml:space="preserve">            "SMA": "132.2908"</t>
  </si>
  <si>
    <t xml:space="preserve">        "2021-08-27": {</t>
  </si>
  <si>
    <t xml:space="preserve">            "SMA": "132.5696"</t>
  </si>
  <si>
    <t>DAUERT EXTREM LANG</t>
  </si>
  <si>
    <t>MBG.FRK</t>
  </si>
  <si>
    <t>READING MBG.FRK</t>
  </si>
  <si>
    <t>READING BLK</t>
  </si>
  <si>
    <t>READING JPM</t>
  </si>
  <si>
    <t>READING MCD</t>
  </si>
  <si>
    <t>READING GS</t>
  </si>
  <si>
    <t>TEST COVESTRO</t>
  </si>
  <si>
    <t>1COV.FRK</t>
  </si>
  <si>
    <t>READING 1COV.FRK</t>
  </si>
  <si>
    <t>Block</t>
  </si>
  <si>
    <t>SQ</t>
  </si>
  <si>
    <t>READING SQ</t>
  </si>
  <si>
    <t>WarnerBrosDiscovery</t>
  </si>
  <si>
    <t>WBD</t>
  </si>
  <si>
    <t>READING WBD</t>
  </si>
  <si>
    <t>DeutschePost</t>
  </si>
  <si>
    <t>DPW.FRK</t>
  </si>
  <si>
    <t>READING DPW.FRK</t>
  </si>
  <si>
    <t>&gt;Time Series (Daily)&gt;2022-05-27&gt;1. open</t>
  </si>
  <si>
    <t>&gt;Time Series (Daily)&gt;2022-05-27&gt;2. high</t>
  </si>
  <si>
    <t>&gt;Time Series (Daily)&gt;2022-05-27&gt;3. low</t>
  </si>
  <si>
    <t>&gt;Time Series (Daily)&gt;2022-05-27&gt;4. close</t>
  </si>
  <si>
    <t>&gt;Time Series (Daily)&gt;2022-05-27&gt;5. volume</t>
  </si>
  <si>
    <t>&gt;Time Series (Daily)&gt;2022-05-26&gt;1. open</t>
  </si>
  <si>
    <t>&gt;Time Series (Daily)&gt;2022-05-26&gt;2. high</t>
  </si>
  <si>
    <t>&gt;Time Series (Daily)&gt;2022-05-26&gt;3. low</t>
  </si>
  <si>
    <t>&gt;Time Series (Daily)&gt;2022-05-26&gt;4. close</t>
  </si>
  <si>
    <t>&gt;Time Series (Daily)&gt;2022-05-26&gt;5. volume</t>
  </si>
  <si>
    <t>&gt;Time Series (Daily)&gt;2022-05-25&gt;1. open</t>
  </si>
  <si>
    <t>&gt;Time Series (Daily)&gt;2022-05-25&gt;2. high</t>
  </si>
  <si>
    <t>&gt;Time Series (Daily)&gt;2022-05-25&gt;3. low</t>
  </si>
  <si>
    <t>&gt;Time Series (Daily)&gt;2022-05-25&gt;4. close</t>
  </si>
  <si>
    <t>&gt;Time Series (Daily)&gt;2022-05-25&gt;5. volume</t>
  </si>
  <si>
    <t>&gt;Time Series (Daily)&gt;2022-05-24&gt;1. open</t>
  </si>
  <si>
    <t>&gt;Time Series (Daily)&gt;2022-05-24&gt;2. high</t>
  </si>
  <si>
    <t>&gt;Time Series (Daily)&gt;2022-05-24&gt;3. low</t>
  </si>
  <si>
    <t>&gt;Time Series (Daily)&gt;2022-05-24&gt;4. close</t>
  </si>
  <si>
    <t>&gt;Time Series (Daily)&gt;2022-05-24&gt;5. volume</t>
  </si>
  <si>
    <t>&gt;Time Series (Daily)&gt;2022-05-23&gt;1. open</t>
  </si>
  <si>
    <t>&gt;Time Series (Daily)&gt;2022-05-23&gt;2. high</t>
  </si>
  <si>
    <t>&gt;Time Series (Daily)&gt;2022-05-23&gt;3. low</t>
  </si>
  <si>
    <t>&gt;Time Series (Daily)&gt;2022-05-23&gt;4. close</t>
  </si>
  <si>
    <t>&gt;Time Series (Daily)&gt;2022-05-23&gt;5. volume</t>
  </si>
  <si>
    <t>&gt;Time Series (Daily)&gt;2022-06-03&gt;1. open</t>
  </si>
  <si>
    <t>&gt;Time Series (Daily)&gt;2022-06-03&gt;2. high</t>
  </si>
  <si>
    <t>&gt;Time Series (Daily)&gt;2022-06-03&gt;3. low</t>
  </si>
  <si>
    <t>&gt;Time Series (Daily)&gt;2022-06-03&gt;4. close</t>
  </si>
  <si>
    <t>&gt;Time Series (Daily)&gt;2022-06-03&gt;5. volume</t>
  </si>
  <si>
    <t>&gt;Time Series (Daily)&gt;2022-06-02&gt;1. open</t>
  </si>
  <si>
    <t>&gt;Time Series (Daily)&gt;2022-06-02&gt;2. high</t>
  </si>
  <si>
    <t>&gt;Time Series (Daily)&gt;2022-06-02&gt;3. low</t>
  </si>
  <si>
    <t>&gt;Time Series (Daily)&gt;2022-06-02&gt;4. close</t>
  </si>
  <si>
    <t>&gt;Time Series (Daily)&gt;2022-06-02&gt;5. volume</t>
  </si>
  <si>
    <t>&gt;Time Series (Daily)&gt;2022-06-01&gt;1. open</t>
  </si>
  <si>
    <t>&gt;Time Series (Daily)&gt;2022-06-01&gt;2. high</t>
  </si>
  <si>
    <t>&gt;Time Series (Daily)&gt;2022-06-01&gt;3. low</t>
  </si>
  <si>
    <t>&gt;Time Series (Daily)&gt;2022-06-01&gt;4. close</t>
  </si>
  <si>
    <t>&gt;Time Series (Daily)&gt;2022-06-01&gt;5. volume</t>
  </si>
  <si>
    <t>&gt;Time Series (Daily)&gt;2022-05-31&gt;1. open</t>
  </si>
  <si>
    <t>&gt;Time Series (Daily)&gt;2022-05-31&gt;2. high</t>
  </si>
  <si>
    <t>&gt;Time Series (Daily)&gt;2022-05-31&gt;3. low</t>
  </si>
  <si>
    <t>&gt;Time Series (Daily)&gt;2022-05-31&gt;4. close</t>
  </si>
  <si>
    <t>&gt;Time Series (Daily)&gt;2022-05-31&gt;5. volume</t>
  </si>
  <si>
    <t>&gt;Time Series (Daily)&gt;2022-05-30&gt;1. open</t>
  </si>
  <si>
    <t>&gt;Time Series (Daily)&gt;2022-05-30&gt;2. high</t>
  </si>
  <si>
    <t>&gt;Time Series (Daily)&gt;2022-05-30&gt;3. low</t>
  </si>
  <si>
    <t>&gt;Time Series (Daily)&gt;2022-05-30&gt;4. close</t>
  </si>
  <si>
    <t>&gt;Time Series (Daily)&gt;2022-05-30&gt;5. volume</t>
  </si>
  <si>
    <t>&gt;Time Series (Daily)&gt;2022-06-10&gt;1. open</t>
  </si>
  <si>
    <t>&gt;Time Series (Daily)&gt;2022-06-10&gt;2. high</t>
  </si>
  <si>
    <t>&gt;Time Series (Daily)&gt;2022-06-10&gt;3. low</t>
  </si>
  <si>
    <t>&gt;Time Series (Daily)&gt;2022-06-10&gt;4. close</t>
  </si>
  <si>
    <t>&gt;Time Series (Daily)&gt;2022-06-10&gt;5. volume</t>
  </si>
  <si>
    <t>&gt;Time Series (Daily)&gt;2022-06-09&gt;1. open</t>
  </si>
  <si>
    <t>&gt;Time Series (Daily)&gt;2022-06-09&gt;2. high</t>
  </si>
  <si>
    <t>&gt;Time Series (Daily)&gt;2022-06-09&gt;3. low</t>
  </si>
  <si>
    <t>&gt;Time Series (Daily)&gt;2022-06-09&gt;4. close</t>
  </si>
  <si>
    <t>&gt;Time Series (Daily)&gt;2022-06-09&gt;5. volume</t>
  </si>
  <si>
    <t>&gt;Time Series (Daily)&gt;2022-06-08&gt;1. open</t>
  </si>
  <si>
    <t>&gt;Time Series (Daily)&gt;2022-06-08&gt;2. high</t>
  </si>
  <si>
    <t>&gt;Time Series (Daily)&gt;2022-06-08&gt;3. low</t>
  </si>
  <si>
    <t>&gt;Time Series (Daily)&gt;2022-06-08&gt;4. close</t>
  </si>
  <si>
    <t>&gt;Time Series (Daily)&gt;2022-06-08&gt;5. volume</t>
  </si>
  <si>
    <t>&gt;Time Series (Daily)&gt;2022-06-07&gt;1. open</t>
  </si>
  <si>
    <t>&gt;Time Series (Daily)&gt;2022-06-07&gt;2. high</t>
  </si>
  <si>
    <t>&gt;Time Series (Daily)&gt;2022-06-07&gt;3. low</t>
  </si>
  <si>
    <t>&gt;Time Series (Daily)&gt;2022-06-07&gt;4. close</t>
  </si>
  <si>
    <t>&gt;Time Series (Daily)&gt;2022-06-07&gt;5. volume</t>
  </si>
  <si>
    <t>&gt;Time Series (Daily)&gt;2022-06-06&gt;1. open</t>
  </si>
  <si>
    <t>&gt;Time Series (Daily)&gt;2022-06-06&gt;2. high</t>
  </si>
  <si>
    <t>&gt;Time Series (Daily)&gt;2022-06-06&gt;3. low</t>
  </si>
  <si>
    <t>&gt;Time Series (Daily)&gt;2022-06-06&gt;4. close</t>
  </si>
  <si>
    <t>&gt;Time Series (Daily)&gt;2022-06-06&gt;5. volume</t>
  </si>
  <si>
    <t>&gt;Time Series (Daily)&gt;2022-06-17&gt;1. open</t>
  </si>
  <si>
    <t>&gt;Time Series (Daily)&gt;2022-06-17&gt;2. high</t>
  </si>
  <si>
    <t>&gt;Time Series (Daily)&gt;2022-06-17&gt;3. low</t>
  </si>
  <si>
    <t>&gt;Time Series (Daily)&gt;2022-06-17&gt;4. close</t>
  </si>
  <si>
    <t>&gt;Time Series (Daily)&gt;2022-06-17&gt;5. volume</t>
  </si>
  <si>
    <t>&gt;Time Series (Daily)&gt;2022-06-16&gt;1. open</t>
  </si>
  <si>
    <t>&gt;Time Series (Daily)&gt;2022-06-16&gt;2. high</t>
  </si>
  <si>
    <t>&gt;Time Series (Daily)&gt;2022-06-16&gt;3. low</t>
  </si>
  <si>
    <t>&gt;Time Series (Daily)&gt;2022-06-16&gt;4. close</t>
  </si>
  <si>
    <t>&gt;Time Series (Daily)&gt;2022-06-16&gt;5. volume</t>
  </si>
  <si>
    <t>&gt;Time Series (Daily)&gt;2022-06-15&gt;1. open</t>
  </si>
  <si>
    <t>&gt;Time Series (Daily)&gt;2022-06-15&gt;2. high</t>
  </si>
  <si>
    <t>&gt;Time Series (Daily)&gt;2022-06-15&gt;3. low</t>
  </si>
  <si>
    <t>&gt;Time Series (Daily)&gt;2022-06-15&gt;4. close</t>
  </si>
  <si>
    <t>&gt;Time Series (Daily)&gt;2022-06-15&gt;5. volume</t>
  </si>
  <si>
    <t>&gt;Time Series (Daily)&gt;2022-06-14&gt;1. open</t>
  </si>
  <si>
    <t>&gt;Time Series (Daily)&gt;2022-06-14&gt;2. high</t>
  </si>
  <si>
    <t>&gt;Time Series (Daily)&gt;2022-06-14&gt;3. low</t>
  </si>
  <si>
    <t>&gt;Time Series (Daily)&gt;2022-06-14&gt;4. close</t>
  </si>
  <si>
    <t>&gt;Time Series (Daily)&gt;2022-06-14&gt;5. volume</t>
  </si>
  <si>
    <t>&gt;Time Series (Daily)&gt;2022-06-13&gt;1. open</t>
  </si>
  <si>
    <t>&gt;Time Series (Daily)&gt;2022-06-13&gt;2. high</t>
  </si>
  <si>
    <t>&gt;Time Series (Daily)&gt;2022-06-13&gt;3. low</t>
  </si>
  <si>
    <t>&gt;Time Series (Daily)&gt;2022-06-13&gt;4. close</t>
  </si>
  <si>
    <t>&gt;Time Series (Daily)&gt;2022-06-13&gt;5. volume</t>
  </si>
  <si>
    <t>&gt;Time Series (Daily)&gt;2022-06-24&gt;1. open</t>
  </si>
  <si>
    <t>&gt;Time Series (Daily)&gt;2022-06-24&gt;2. high</t>
  </si>
  <si>
    <t>&gt;Time Series (Daily)&gt;2022-06-24&gt;3. low</t>
  </si>
  <si>
    <t>&gt;Time Series (Daily)&gt;2022-06-24&gt;4. close</t>
  </si>
  <si>
    <t>&gt;Time Series (Daily)&gt;2022-06-24&gt;5. volume</t>
  </si>
  <si>
    <t>&gt;Time Series (Daily)&gt;2022-06-23&gt;1. open</t>
  </si>
  <si>
    <t>&gt;Time Series (Daily)&gt;2022-06-23&gt;2. high</t>
  </si>
  <si>
    <t>&gt;Time Series (Daily)&gt;2022-06-23&gt;3. low</t>
  </si>
  <si>
    <t>&gt;Time Series (Daily)&gt;2022-06-23&gt;4. close</t>
  </si>
  <si>
    <t>&gt;Time Series (Daily)&gt;2022-06-23&gt;5. volume</t>
  </si>
  <si>
    <t>&gt;Time Series (Daily)&gt;2022-06-22&gt;1. open</t>
  </si>
  <si>
    <t>&gt;Time Series (Daily)&gt;2022-06-22&gt;2. high</t>
  </si>
  <si>
    <t>&gt;Time Series (Daily)&gt;2022-06-22&gt;3. low</t>
  </si>
  <si>
    <t>&gt;Time Series (Daily)&gt;2022-06-22&gt;4. close</t>
  </si>
  <si>
    <t>&gt;Time Series (Daily)&gt;2022-06-22&gt;5. volume</t>
  </si>
  <si>
    <t>&gt;Time Series (Daily)&gt;2022-06-21&gt;1. open</t>
  </si>
  <si>
    <t>&gt;Time Series (Daily)&gt;2022-06-21&gt;2. high</t>
  </si>
  <si>
    <t>&gt;Time Series (Daily)&gt;2022-06-21&gt;3. low</t>
  </si>
  <si>
    <t>&gt;Time Series (Daily)&gt;2022-06-21&gt;4. close</t>
  </si>
  <si>
    <t>&gt;Time Series (Daily)&gt;2022-06-21&gt;5. volume</t>
  </si>
  <si>
    <t>&gt;Time Series (Daily)&gt;2022-06-20&gt;1. open</t>
  </si>
  <si>
    <t>&gt;Time Series (Daily)&gt;2022-06-20&gt;2. high</t>
  </si>
  <si>
    <t>&gt;Time Series (Daily)&gt;2022-06-20&gt;3. low</t>
  </si>
  <si>
    <t>&gt;Time Series (Daily)&gt;2022-06-20&gt;4. close</t>
  </si>
  <si>
    <t>&gt;Time Series (Daily)&gt;2022-06-20&gt;5. volume</t>
  </si>
  <si>
    <t>&gt;Time Series (Daily)&gt;2022-07-01&gt;1. open</t>
  </si>
  <si>
    <t>&gt;Time Series (Daily)&gt;2022-07-01&gt;2. high</t>
  </si>
  <si>
    <t>&gt;Time Series (Daily)&gt;2022-07-01&gt;3. low</t>
  </si>
  <si>
    <t>&gt;Time Series (Daily)&gt;2022-07-01&gt;4. close</t>
  </si>
  <si>
    <t>&gt;Time Series (Daily)&gt;2022-07-01&gt;5. volume</t>
  </si>
  <si>
    <t>&gt;Time Series (Daily)&gt;2022-06-30&gt;1. open</t>
  </si>
  <si>
    <t>&gt;Time Series (Daily)&gt;2022-06-30&gt;2. high</t>
  </si>
  <si>
    <t>&gt;Time Series (Daily)&gt;2022-06-30&gt;3. low</t>
  </si>
  <si>
    <t>&gt;Time Series (Daily)&gt;2022-06-30&gt;4. close</t>
  </si>
  <si>
    <t>&gt;Time Series (Daily)&gt;2022-06-30&gt;5. volume</t>
  </si>
  <si>
    <t>&gt;Time Series (Daily)&gt;2022-06-29&gt;1. open</t>
  </si>
  <si>
    <t>&gt;Time Series (Daily)&gt;2022-06-29&gt;2. high</t>
  </si>
  <si>
    <t>&gt;Time Series (Daily)&gt;2022-06-29&gt;3. low</t>
  </si>
  <si>
    <t>&gt;Time Series (Daily)&gt;2022-06-29&gt;4. close</t>
  </si>
  <si>
    <t>&gt;Time Series (Daily)&gt;2022-06-29&gt;5. volume</t>
  </si>
  <si>
    <t>&gt;Time Series (Daily)&gt;2022-06-28&gt;1. open</t>
  </si>
  <si>
    <t>&gt;Time Series (Daily)&gt;2022-06-28&gt;2. high</t>
  </si>
  <si>
    <t>&gt;Time Series (Daily)&gt;2022-06-28&gt;3. low</t>
  </si>
  <si>
    <t>&gt;Time Series (Daily)&gt;2022-06-28&gt;4. close</t>
  </si>
  <si>
    <t>&gt;Time Series (Daily)&gt;2022-06-28&gt;5. volume</t>
  </si>
  <si>
    <t>&gt;Time Series (Daily)&gt;2022-06-27&gt;1. open</t>
  </si>
  <si>
    <t>&gt;Time Series (Daily)&gt;2022-06-27&gt;2. high</t>
  </si>
  <si>
    <t>&gt;Time Series (Daily)&gt;2022-06-27&gt;3. low</t>
  </si>
  <si>
    <t>&gt;Time Series (Daily)&gt;2022-06-27&gt;4. close</t>
  </si>
  <si>
    <t>&gt;Time Series (Daily)&gt;2022-06-27&gt;5. volume</t>
  </si>
  <si>
    <t>&gt;Time Series (Daily)&gt;2022-07-07&gt;1. open</t>
  </si>
  <si>
    <t>&gt;Time Series (Daily)&gt;2022-07-07&gt;2. high</t>
  </si>
  <si>
    <t>&gt;Time Series (Daily)&gt;2022-07-07&gt;3. low</t>
  </si>
  <si>
    <t>&gt;Time Series (Daily)&gt;2022-07-07&gt;4. close</t>
  </si>
  <si>
    <t>&gt;Time Series (Daily)&gt;2022-07-07&gt;5. volume</t>
  </si>
  <si>
    <t>&gt;Time Series (Daily)&gt;2022-07-06&gt;1. open</t>
  </si>
  <si>
    <t>&gt;Time Series (Daily)&gt;2022-07-06&gt;2. high</t>
  </si>
  <si>
    <t>&gt;Time Series (Daily)&gt;2022-07-06&gt;3. low</t>
  </si>
  <si>
    <t>&gt;Time Series (Daily)&gt;2022-07-06&gt;4. close</t>
  </si>
  <si>
    <t>&gt;Time Series (Daily)&gt;2022-07-06&gt;5. volume</t>
  </si>
  <si>
    <t>&gt;Time Series (Daily)&gt;2022-07-05&gt;1. open</t>
  </si>
  <si>
    <t>&gt;Time Series (Daily)&gt;2022-07-05&gt;2. high</t>
  </si>
  <si>
    <t>&gt;Time Series (Daily)&gt;2022-07-05&gt;3. low</t>
  </si>
  <si>
    <t>&gt;Time Series (Daily)&gt;2022-07-05&gt;4. close</t>
  </si>
  <si>
    <t>&gt;Time Series (Daily)&gt;2022-07-05&gt;5. volume</t>
  </si>
  <si>
    <t>&gt;Time Series (Daily)&gt;2022-07-04&gt;1. open</t>
  </si>
  <si>
    <t>&gt;Time Series (Daily)&gt;2022-07-04&gt;2. high</t>
  </si>
  <si>
    <t>&gt;Time Series (Daily)&gt;2022-07-04&gt;3. low</t>
  </si>
  <si>
    <t>&gt;Time Series (Daily)&gt;2022-07-04&gt;4. close</t>
  </si>
  <si>
    <t>&gt;Time Series (Daily)&gt;2022-07-04&gt;5. volume</t>
  </si>
  <si>
    <t>&gt;Time Series (Daily)&gt;2022-07-15&gt;1. open</t>
  </si>
  <si>
    <t>&gt;Time Series (Daily)&gt;2022-07-15&gt;2. high</t>
  </si>
  <si>
    <t>&gt;Time Series (Daily)&gt;2022-07-15&gt;3. low</t>
  </si>
  <si>
    <t>&gt;Time Series (Daily)&gt;2022-07-15&gt;4. close</t>
  </si>
  <si>
    <t>&gt;Time Series (Daily)&gt;2022-07-15&gt;5. volume</t>
  </si>
  <si>
    <t>&gt;Time Series (Daily)&gt;2022-07-14&gt;1. open</t>
  </si>
  <si>
    <t>&gt;Time Series (Daily)&gt;2022-07-14&gt;2. high</t>
  </si>
  <si>
    <t>&gt;Time Series (Daily)&gt;2022-07-14&gt;3. low</t>
  </si>
  <si>
    <t>&gt;Time Series (Daily)&gt;2022-07-14&gt;4. close</t>
  </si>
  <si>
    <t>&gt;Time Series (Daily)&gt;2022-07-14&gt;5. volume</t>
  </si>
  <si>
    <t>&gt;Time Series (Daily)&gt;2022-07-13&gt;1. open</t>
  </si>
  <si>
    <t>&gt;Time Series (Daily)&gt;2022-07-13&gt;2. high</t>
  </si>
  <si>
    <t>&gt;Time Series (Daily)&gt;2022-07-13&gt;3. low</t>
  </si>
  <si>
    <t>&gt;Time Series (Daily)&gt;2022-07-13&gt;4. close</t>
  </si>
  <si>
    <t>&gt;Time Series (Daily)&gt;2022-07-13&gt;5. volume</t>
  </si>
  <si>
    <t>&gt;Time Series (Daily)&gt;2022-07-12&gt;1. open</t>
  </si>
  <si>
    <t>&gt;Time Series (Daily)&gt;2022-07-12&gt;2. high</t>
  </si>
  <si>
    <t>&gt;Time Series (Daily)&gt;2022-07-12&gt;3. low</t>
  </si>
  <si>
    <t>&gt;Time Series (Daily)&gt;2022-07-12&gt;4. close</t>
  </si>
  <si>
    <t>&gt;Time Series (Daily)&gt;2022-07-12&gt;5. volume</t>
  </si>
  <si>
    <t>&gt;Time Series (Daily)&gt;2022-07-11&gt;1. open</t>
  </si>
  <si>
    <t>&gt;Time Series (Daily)&gt;2022-07-11&gt;2. high</t>
  </si>
  <si>
    <t>&gt;Time Series (Daily)&gt;2022-07-11&gt;3. low</t>
  </si>
  <si>
    <t>&gt;Time Series (Daily)&gt;2022-07-11&gt;4. close</t>
  </si>
  <si>
    <t>&gt;Time Series (Daily)&gt;2022-07-11&gt;5. volume</t>
  </si>
  <si>
    <t>&gt;Time Series (Daily)&gt;2022-07-08&gt;1. open</t>
  </si>
  <si>
    <t>&gt;Time Series (Daily)&gt;2022-07-08&gt;2. high</t>
  </si>
  <si>
    <t>&gt;Time Series (Daily)&gt;2022-07-08&gt;3. low</t>
  </si>
  <si>
    <t>&gt;Time Series (Daily)&gt;2022-07-08&gt;4. close</t>
  </si>
  <si>
    <t>&gt;Time Series (Daily)&gt;2022-07-08&gt;5. volume</t>
  </si>
  <si>
    <t>&gt;Time Series (Daily)&gt;2022-07-22&gt;1. open</t>
  </si>
  <si>
    <t>&gt;Time Series (Daily)&gt;2022-07-22&gt;2. high</t>
  </si>
  <si>
    <t>&gt;Time Series (Daily)&gt;2022-07-22&gt;3. low</t>
  </si>
  <si>
    <t>&gt;Time Series (Daily)&gt;2022-07-22&gt;4. close</t>
  </si>
  <si>
    <t>&gt;Time Series (Daily)&gt;2022-07-22&gt;5. volume</t>
  </si>
  <si>
    <t>&gt;Time Series (Daily)&gt;2022-07-21&gt;1. open</t>
  </si>
  <si>
    <t>&gt;Time Series (Daily)&gt;2022-07-21&gt;2. high</t>
  </si>
  <si>
    <t>&gt;Time Series (Daily)&gt;2022-07-21&gt;3. low</t>
  </si>
  <si>
    <t>&gt;Time Series (Daily)&gt;2022-07-21&gt;4. close</t>
  </si>
  <si>
    <t>&gt;Time Series (Daily)&gt;2022-07-21&gt;5. volume</t>
  </si>
  <si>
    <t>&gt;Time Series (Daily)&gt;2022-07-20&gt;1. open</t>
  </si>
  <si>
    <t>&gt;Time Series (Daily)&gt;2022-07-20&gt;2. high</t>
  </si>
  <si>
    <t>&gt;Time Series (Daily)&gt;2022-07-20&gt;3. low</t>
  </si>
  <si>
    <t>&gt;Time Series (Daily)&gt;2022-07-20&gt;4. close</t>
  </si>
  <si>
    <t>&gt;Time Series (Daily)&gt;2022-07-20&gt;5. volume</t>
  </si>
  <si>
    <t>&gt;Time Series (Daily)&gt;2022-07-19&gt;1. open</t>
  </si>
  <si>
    <t>&gt;Time Series (Daily)&gt;2022-07-19&gt;2. high</t>
  </si>
  <si>
    <t>&gt;Time Series (Daily)&gt;2022-07-19&gt;3. low</t>
  </si>
  <si>
    <t>&gt;Time Series (Daily)&gt;2022-07-19&gt;4. close</t>
  </si>
  <si>
    <t>&gt;Time Series (Daily)&gt;2022-07-19&gt;5. volume</t>
  </si>
  <si>
    <t>&gt;Time Series (Daily)&gt;2022-07-18&gt;1. open</t>
  </si>
  <si>
    <t>&gt;Time Series (Daily)&gt;2022-07-18&gt;2. high</t>
  </si>
  <si>
    <t>&gt;Time Series (Daily)&gt;2022-07-18&gt;3. low</t>
  </si>
  <si>
    <t>&gt;Time Series (Daily)&gt;2022-07-18&gt;4. close</t>
  </si>
  <si>
    <t>&gt;Time Series (Daily)&gt;2022-07-18&gt;5. volume</t>
  </si>
  <si>
    <t>&gt;Time Series (Daily)&gt;2022-07-29&gt;1. open</t>
  </si>
  <si>
    <t>&gt;Time Series (Daily)&gt;2022-07-29&gt;2. high</t>
  </si>
  <si>
    <t>&gt;Time Series (Daily)&gt;2022-07-29&gt;3. low</t>
  </si>
  <si>
    <t>&gt;Time Series (Daily)&gt;2022-07-29&gt;4. close</t>
  </si>
  <si>
    <t>&gt;Time Series (Daily)&gt;2022-07-29&gt;5. volume</t>
  </si>
  <si>
    <t>&gt;Time Series (Daily)&gt;2022-07-28&gt;1. open</t>
  </si>
  <si>
    <t>&gt;Time Series (Daily)&gt;2022-07-28&gt;2. high</t>
  </si>
  <si>
    <t>&gt;Time Series (Daily)&gt;2022-07-28&gt;3. low</t>
  </si>
  <si>
    <t>&gt;Time Series (Daily)&gt;2022-07-28&gt;4. close</t>
  </si>
  <si>
    <t>&gt;Time Series (Daily)&gt;2022-07-28&gt;5. volume</t>
  </si>
  <si>
    <t>&gt;Time Series (Daily)&gt;2022-07-27&gt;1. open</t>
  </si>
  <si>
    <t>&gt;Time Series (Daily)&gt;2022-07-27&gt;2. high</t>
  </si>
  <si>
    <t>&gt;Time Series (Daily)&gt;2022-07-27&gt;3. low</t>
  </si>
  <si>
    <t>&gt;Time Series (Daily)&gt;2022-07-27&gt;4. close</t>
  </si>
  <si>
    <t>&gt;Time Series (Daily)&gt;2022-07-27&gt;5. volume</t>
  </si>
  <si>
    <t>&gt;Time Series (Daily)&gt;2022-07-26&gt;1. open</t>
  </si>
  <si>
    <t>&gt;Time Series (Daily)&gt;2022-07-26&gt;2. high</t>
  </si>
  <si>
    <t>&gt;Time Series (Daily)&gt;2022-07-26&gt;3. low</t>
  </si>
  <si>
    <t>&gt;Time Series (Daily)&gt;2022-07-26&gt;4. close</t>
  </si>
  <si>
    <t>&gt;Time Series (Daily)&gt;2022-07-26&gt;5. volume</t>
  </si>
  <si>
    <t>&gt;Time Series (Daily)&gt;2022-07-25&gt;1. open</t>
  </si>
  <si>
    <t>&gt;Time Series (Daily)&gt;2022-07-25&gt;2. high</t>
  </si>
  <si>
    <t>&gt;Time Series (Daily)&gt;2022-07-25&gt;3. low</t>
  </si>
  <si>
    <t>&gt;Time Series (Daily)&gt;2022-07-25&gt;4. close</t>
  </si>
  <si>
    <t>&gt;Time Series (Daily)&gt;2022-07-25&gt;5. volume</t>
  </si>
  <si>
    <t>&gt;Time Series (Daily)&gt;2022-08-05&gt;1. open</t>
  </si>
  <si>
    <t>&gt;Time Series (Daily)&gt;2022-08-05&gt;2. high</t>
  </si>
  <si>
    <t>&gt;Time Series (Daily)&gt;2022-08-05&gt;3. low</t>
  </si>
  <si>
    <t>&gt;Time Series (Daily)&gt;2022-08-05&gt;4. close</t>
  </si>
  <si>
    <t>&gt;Time Series (Daily)&gt;2022-08-05&gt;5. volume</t>
  </si>
  <si>
    <t>&gt;Time Series (Daily)&gt;2022-08-04&gt;1. open</t>
  </si>
  <si>
    <t>&gt;Time Series (Daily)&gt;2022-08-04&gt;2. high</t>
  </si>
  <si>
    <t>&gt;Time Series (Daily)&gt;2022-08-04&gt;3. low</t>
  </si>
  <si>
    <t>&gt;Time Series (Daily)&gt;2022-08-04&gt;4. close</t>
  </si>
  <si>
    <t>&gt;Time Series (Daily)&gt;2022-08-04&gt;5. volume</t>
  </si>
  <si>
    <t>&gt;Time Series (Daily)&gt;2022-08-03&gt;1. open</t>
  </si>
  <si>
    <t>&gt;Time Series (Daily)&gt;2022-08-03&gt;2. high</t>
  </si>
  <si>
    <t>&gt;Time Series (Daily)&gt;2022-08-03&gt;3. low</t>
  </si>
  <si>
    <t>&gt;Time Series (Daily)&gt;2022-08-03&gt;4. close</t>
  </si>
  <si>
    <t>&gt;Time Series (Daily)&gt;2022-08-03&gt;5. volume</t>
  </si>
  <si>
    <t>&gt;Time Series (Daily)&gt;2022-08-02&gt;1. open</t>
  </si>
  <si>
    <t>&gt;Time Series (Daily)&gt;2022-08-02&gt;2. high</t>
  </si>
  <si>
    <t>&gt;Time Series (Daily)&gt;2022-08-02&gt;3. low</t>
  </si>
  <si>
    <t>&gt;Time Series (Daily)&gt;2022-08-02&gt;4. close</t>
  </si>
  <si>
    <t>&gt;Time Series (Daily)&gt;2022-08-02&gt;5. volume</t>
  </si>
  <si>
    <t>&gt;Time Series (Daily)&gt;2022-08-01&gt;1. open</t>
  </si>
  <si>
    <t>&gt;Time Series (Daily)&gt;2022-08-01&gt;2. high</t>
  </si>
  <si>
    <t>&gt;Time Series (Daily)&gt;2022-08-01&gt;3. low</t>
  </si>
  <si>
    <t>&gt;Time Series (Daily)&gt;2022-08-01&gt;4. close</t>
  </si>
  <si>
    <t>&gt;Time Series (Daily)&gt;2022-08-01&gt;5. volume</t>
  </si>
  <si>
    <t>&gt;Time Series (Daily)&gt;2022-08-12&gt;1. open</t>
  </si>
  <si>
    <t>&gt;Time Series (Daily)&gt;2022-08-12&gt;2. high</t>
  </si>
  <si>
    <t>&gt;Time Series (Daily)&gt;2022-08-12&gt;3. low</t>
  </si>
  <si>
    <t>&gt;Time Series (Daily)&gt;2022-08-12&gt;4. close</t>
  </si>
  <si>
    <t>&gt;Time Series (Daily)&gt;2022-08-12&gt;5. volume</t>
  </si>
  <si>
    <t>&gt;Time Series (Daily)&gt;2022-08-11&gt;1. open</t>
  </si>
  <si>
    <t>&gt;Time Series (Daily)&gt;2022-08-11&gt;2. high</t>
  </si>
  <si>
    <t>&gt;Time Series (Daily)&gt;2022-08-11&gt;3. low</t>
  </si>
  <si>
    <t>&gt;Time Series (Daily)&gt;2022-08-11&gt;4. close</t>
  </si>
  <si>
    <t>&gt;Time Series (Daily)&gt;2022-08-11&gt;5. volume</t>
  </si>
  <si>
    <t>&gt;Time Series (Daily)&gt;2022-08-10&gt;1. open</t>
  </si>
  <si>
    <t>&gt;Time Series (Daily)&gt;2022-08-10&gt;2. high</t>
  </si>
  <si>
    <t>&gt;Time Series (Daily)&gt;2022-08-10&gt;3. low</t>
  </si>
  <si>
    <t>&gt;Time Series (Daily)&gt;2022-08-10&gt;4. close</t>
  </si>
  <si>
    <t>&gt;Time Series (Daily)&gt;2022-08-10&gt;5. volume</t>
  </si>
  <si>
    <t>&gt;Time Series (Daily)&gt;2022-08-09&gt;1. open</t>
  </si>
  <si>
    <t>&gt;Time Series (Daily)&gt;2022-08-09&gt;2. high</t>
  </si>
  <si>
    <t>&gt;Time Series (Daily)&gt;2022-08-09&gt;3. low</t>
  </si>
  <si>
    <t>&gt;Time Series (Daily)&gt;2022-08-09&gt;4. close</t>
  </si>
  <si>
    <t>&gt;Time Series (Daily)&gt;2022-08-09&gt;5. volume</t>
  </si>
  <si>
    <t>&gt;Time Series (Daily)&gt;2022-08-08&gt;1. open</t>
  </si>
  <si>
    <t>&gt;Time Series (Daily)&gt;2022-08-08&gt;2. high</t>
  </si>
  <si>
    <t>&gt;Time Series (Daily)&gt;2022-08-08&gt;3. low</t>
  </si>
  <si>
    <t>&gt;Time Series (Daily)&gt;2022-08-08&gt;4. close</t>
  </si>
  <si>
    <t>&gt;Time Series (Daily)&gt;2022-08-08&gt;5. volume</t>
  </si>
  <si>
    <t>&gt;Information</t>
  </si>
  <si>
    <t>Thank you for using Alpha Vantage! This is a premium endpoint. You may subscribe to any of the premium plans at https://www.alphavantage.co/premium/ to instantly unlock all premium endpoints</t>
  </si>
  <si>
    <t>&gt;Time Series (Daily)&gt;2022-08-19&gt;1. open</t>
  </si>
  <si>
    <t>&gt;Time Series (Daily)&gt;2022-08-19&gt;2. high</t>
  </si>
  <si>
    <t>&gt;Time Series (Daily)&gt;2022-08-19&gt;3. low</t>
  </si>
  <si>
    <t>&gt;Time Series (Daily)&gt;2022-08-19&gt;4. close</t>
  </si>
  <si>
    <t>&gt;Time Series (Daily)&gt;2022-08-19&gt;5. volume</t>
  </si>
  <si>
    <t>&gt;Time Series (Daily)&gt;2022-08-18&gt;1. open</t>
  </si>
  <si>
    <t>&gt;Time Series (Daily)&gt;2022-08-18&gt;2. high</t>
  </si>
  <si>
    <t>&gt;Time Series (Daily)&gt;2022-08-18&gt;3. low</t>
  </si>
  <si>
    <t>&gt;Time Series (Daily)&gt;2022-08-18&gt;4. close</t>
  </si>
  <si>
    <t>&gt;Time Series (Daily)&gt;2022-08-18&gt;5. volume</t>
  </si>
  <si>
    <t>&gt;Time Series (Daily)&gt;2022-08-17&gt;1. open</t>
  </si>
  <si>
    <t>&gt;Time Series (Daily)&gt;2022-08-17&gt;2. high</t>
  </si>
  <si>
    <t>&gt;Time Series (Daily)&gt;2022-08-17&gt;3. low</t>
  </si>
  <si>
    <t>&gt;Time Series (Daily)&gt;2022-08-17&gt;4. close</t>
  </si>
  <si>
    <t>&gt;Time Series (Daily)&gt;2022-08-17&gt;5. volume</t>
  </si>
  <si>
    <t>&gt;Time Series (Daily)&gt;2022-08-16&gt;1. open</t>
  </si>
  <si>
    <t>&gt;Time Series (Daily)&gt;2022-08-16&gt;2. high</t>
  </si>
  <si>
    <t>&gt;Time Series (Daily)&gt;2022-08-16&gt;3. low</t>
  </si>
  <si>
    <t>&gt;Time Series (Daily)&gt;2022-08-16&gt;4. close</t>
  </si>
  <si>
    <t>&gt;Time Series (Daily)&gt;2022-08-16&gt;5. volume</t>
  </si>
  <si>
    <t>&gt;Time Series (Daily)&gt;2022-08-15&gt;1. open</t>
  </si>
  <si>
    <t>&gt;Time Series (Daily)&gt;2022-08-15&gt;2. high</t>
  </si>
  <si>
    <t>&gt;Time Series (Daily)&gt;2022-08-15&gt;3. low</t>
  </si>
  <si>
    <t>&gt;Time Series (Daily)&gt;2022-08-15&gt;4. close</t>
  </si>
  <si>
    <t>&gt;Time Series (Daily)&gt;2022-08-15&gt;5. volume</t>
  </si>
  <si>
    <t>&gt;Time Series (Daily)&gt;2022-08-26&gt;1. open</t>
  </si>
  <si>
    <t>&gt;Time Series (Daily)&gt;2022-08-26&gt;2. high</t>
  </si>
  <si>
    <t>&gt;Time Series (Daily)&gt;2022-08-26&gt;3. low</t>
  </si>
  <si>
    <t>&gt;Time Series (Daily)&gt;2022-08-26&gt;4. close</t>
  </si>
  <si>
    <t>&gt;Time Series (Daily)&gt;2022-08-26&gt;5. volume</t>
  </si>
  <si>
    <t>&gt;Time Series (Daily)&gt;2022-08-25&gt;1. open</t>
  </si>
  <si>
    <t>&gt;Time Series (Daily)&gt;2022-08-25&gt;2. high</t>
  </si>
  <si>
    <t>&gt;Time Series (Daily)&gt;2022-08-25&gt;3. low</t>
  </si>
  <si>
    <t>&gt;Time Series (Daily)&gt;2022-08-25&gt;4. close</t>
  </si>
  <si>
    <t>&gt;Time Series (Daily)&gt;2022-08-25&gt;5. volume</t>
  </si>
  <si>
    <t>&gt;Time Series (Daily)&gt;2022-08-24&gt;1. open</t>
  </si>
  <si>
    <t>&gt;Time Series (Daily)&gt;2022-08-24&gt;2. high</t>
  </si>
  <si>
    <t>&gt;Time Series (Daily)&gt;2022-08-24&gt;3. low</t>
  </si>
  <si>
    <t>&gt;Time Series (Daily)&gt;2022-08-24&gt;4. close</t>
  </si>
  <si>
    <t>&gt;Time Series (Daily)&gt;2022-08-24&gt;5. volume</t>
  </si>
  <si>
    <t>&gt;Time Series (Daily)&gt;2022-08-23&gt;1. open</t>
  </si>
  <si>
    <t>&gt;Time Series (Daily)&gt;2022-08-23&gt;2. high</t>
  </si>
  <si>
    <t>&gt;Time Series (Daily)&gt;2022-08-23&gt;3. low</t>
  </si>
  <si>
    <t>&gt;Time Series (Daily)&gt;2022-08-23&gt;4. close</t>
  </si>
  <si>
    <t>&gt;Time Series (Daily)&gt;2022-08-23&gt;5. volume</t>
  </si>
  <si>
    <t>&gt;Time Series (Daily)&gt;2022-08-22&gt;1. open</t>
  </si>
  <si>
    <t>&gt;Time Series (Daily)&gt;2022-08-22&gt;2. high</t>
  </si>
  <si>
    <t>&gt;Time Series (Daily)&gt;2022-08-22&gt;3. low</t>
  </si>
  <si>
    <t>&gt;Time Series (Daily)&gt;2022-08-22&gt;4. close</t>
  </si>
  <si>
    <t>&gt;Time Series (Daily)&gt;2022-08-22&gt;5. volume</t>
  </si>
  <si>
    <t>&gt;Time Series (Daily)&gt;2022-09-02&gt;1. open</t>
  </si>
  <si>
    <t>&gt;Time Series (Daily)&gt;2022-09-02&gt;2. high</t>
  </si>
  <si>
    <t>&gt;Time Series (Daily)&gt;2022-09-02&gt;3. low</t>
  </si>
  <si>
    <t>&gt;Time Series (Daily)&gt;2022-09-02&gt;4. close</t>
  </si>
  <si>
    <t>&gt;Time Series (Daily)&gt;2022-09-02&gt;5. volume</t>
  </si>
  <si>
    <t>&gt;Time Series (Daily)&gt;2022-09-01&gt;1. open</t>
  </si>
  <si>
    <t>&gt;Time Series (Daily)&gt;2022-09-01&gt;2. high</t>
  </si>
  <si>
    <t>&gt;Time Series (Daily)&gt;2022-09-01&gt;3. low</t>
  </si>
  <si>
    <t>&gt;Time Series (Daily)&gt;2022-09-01&gt;4. close</t>
  </si>
  <si>
    <t>&gt;Time Series (Daily)&gt;2022-09-01&gt;5. volume</t>
  </si>
  <si>
    <t>&gt;Time Series (Daily)&gt;2022-08-31&gt;1. open</t>
  </si>
  <si>
    <t>&gt;Time Series (Daily)&gt;2022-08-31&gt;2. high</t>
  </si>
  <si>
    <t>&gt;Time Series (Daily)&gt;2022-08-31&gt;3. low</t>
  </si>
  <si>
    <t>&gt;Time Series (Daily)&gt;2022-08-31&gt;4. close</t>
  </si>
  <si>
    <t>&gt;Time Series (Daily)&gt;2022-08-31&gt;5. volume</t>
  </si>
  <si>
    <t>&gt;Time Series (Daily)&gt;2022-08-30&gt;1. open</t>
  </si>
  <si>
    <t>&gt;Time Series (Daily)&gt;2022-08-30&gt;2. high</t>
  </si>
  <si>
    <t>&gt;Time Series (Daily)&gt;2022-08-30&gt;3. low</t>
  </si>
  <si>
    <t>&gt;Time Series (Daily)&gt;2022-08-30&gt;4. close</t>
  </si>
  <si>
    <t>&gt;Time Series (Daily)&gt;2022-08-30&gt;5. volume</t>
  </si>
  <si>
    <t>&gt;Time Series (Daily)&gt;2022-08-29&gt;1. open</t>
  </si>
  <si>
    <t>&gt;Time Series (Daily)&gt;2022-08-29&gt;2. high</t>
  </si>
  <si>
    <t>&gt;Time Series (Daily)&gt;2022-08-29&gt;3. low</t>
  </si>
  <si>
    <t>&gt;Time Series (Daily)&gt;2022-08-29&gt;4. close</t>
  </si>
  <si>
    <t>&gt;Time Series (Daily)&gt;2022-08-29&gt;5. volume</t>
  </si>
  <si>
    <t>&gt;Time Series (Daily)&gt;2022-09-09&gt;1. open</t>
  </si>
  <si>
    <t>&gt;Time Series (Daily)&gt;2022-09-09&gt;2. high</t>
  </si>
  <si>
    <t>&gt;Time Series (Daily)&gt;2022-09-09&gt;3. low</t>
  </si>
  <si>
    <t>&gt;Time Series (Daily)&gt;2022-09-09&gt;4. close</t>
  </si>
  <si>
    <t>&gt;Time Series (Daily)&gt;2022-09-09&gt;5. volume</t>
  </si>
  <si>
    <t>&gt;Time Series (Daily)&gt;2022-09-08&gt;1. open</t>
  </si>
  <si>
    <t>&gt;Time Series (Daily)&gt;2022-09-08&gt;2. high</t>
  </si>
  <si>
    <t>&gt;Time Series (Daily)&gt;2022-09-08&gt;3. low</t>
  </si>
  <si>
    <t>&gt;Time Series (Daily)&gt;2022-09-08&gt;4. close</t>
  </si>
  <si>
    <t>&gt;Time Series (Daily)&gt;2022-09-08&gt;5. volume</t>
  </si>
  <si>
    <t>&gt;Time Series (Daily)&gt;2022-09-07&gt;1. open</t>
  </si>
  <si>
    <t>&gt;Time Series (Daily)&gt;2022-09-07&gt;2. high</t>
  </si>
  <si>
    <t>&gt;Time Series (Daily)&gt;2022-09-07&gt;3. low</t>
  </si>
  <si>
    <t>&gt;Time Series (Daily)&gt;2022-09-07&gt;4. close</t>
  </si>
  <si>
    <t>&gt;Time Series (Daily)&gt;2022-09-07&gt;5. volume</t>
  </si>
  <si>
    <t>&gt;Time Series (Daily)&gt;2022-09-06&gt;1. open</t>
  </si>
  <si>
    <t>&gt;Time Series (Daily)&gt;2022-09-06&gt;2. high</t>
  </si>
  <si>
    <t>&gt;Time Series (Daily)&gt;2022-09-06&gt;3. low</t>
  </si>
  <si>
    <t>&gt;Time Series (Daily)&gt;2022-09-06&gt;4. close</t>
  </si>
  <si>
    <t>&gt;Time Series (Daily)&gt;2022-09-06&gt;5. volume</t>
  </si>
  <si>
    <t>&gt;Time Series (Daily)&gt;2022-09-05&gt;1. open</t>
  </si>
  <si>
    <t>&gt;Time Series (Daily)&gt;2022-09-05&gt;2. high</t>
  </si>
  <si>
    <t>&gt;Time Series (Daily)&gt;2022-09-05&gt;3. low</t>
  </si>
  <si>
    <t>&gt;Time Series (Daily)&gt;2022-09-05&gt;4. close</t>
  </si>
  <si>
    <t>&gt;Time Series (Daily)&gt;2022-09-05&gt;5. volume</t>
  </si>
  <si>
    <t>&gt;Time Series (Daily)&gt;2022-09-16&gt;1. open</t>
  </si>
  <si>
    <t>&gt;Time Series (Daily)&gt;2022-09-16&gt;2. high</t>
  </si>
  <si>
    <t>&gt;Time Series (Daily)&gt;2022-09-16&gt;3. low</t>
  </si>
  <si>
    <t>&gt;Time Series (Daily)&gt;2022-09-16&gt;4. close</t>
  </si>
  <si>
    <t>&gt;Time Series (Daily)&gt;2022-09-16&gt;5. volume</t>
  </si>
  <si>
    <t>&gt;Time Series (Daily)&gt;2022-09-15&gt;1. open</t>
  </si>
  <si>
    <t>&gt;Time Series (Daily)&gt;2022-09-15&gt;2. high</t>
  </si>
  <si>
    <t>&gt;Time Series (Daily)&gt;2022-09-15&gt;3. low</t>
  </si>
  <si>
    <t>&gt;Time Series (Daily)&gt;2022-09-15&gt;4. close</t>
  </si>
  <si>
    <t>&gt;Time Series (Daily)&gt;2022-09-15&gt;5. volume</t>
  </si>
  <si>
    <t>&gt;Time Series (Daily)&gt;2022-09-14&gt;1. open</t>
  </si>
  <si>
    <t>&gt;Time Series (Daily)&gt;2022-09-14&gt;2. high</t>
  </si>
  <si>
    <t>&gt;Time Series (Daily)&gt;2022-09-14&gt;3. low</t>
  </si>
  <si>
    <t>&gt;Time Series (Daily)&gt;2022-09-14&gt;4. close</t>
  </si>
  <si>
    <t>&gt;Time Series (Daily)&gt;2022-09-14&gt;5. volume</t>
  </si>
  <si>
    <t>&gt;Time Series (Daily)&gt;2022-09-13&gt;1. open</t>
  </si>
  <si>
    <t>&gt;Time Series (Daily)&gt;2022-09-13&gt;2. high</t>
  </si>
  <si>
    <t>&gt;Time Series (Daily)&gt;2022-09-13&gt;3. low</t>
  </si>
  <si>
    <t>&gt;Time Series (Daily)&gt;2022-09-13&gt;4. close</t>
  </si>
  <si>
    <t>&gt;Time Series (Daily)&gt;2022-09-13&gt;5. volume</t>
  </si>
  <si>
    <t>&gt;Time Series (Daily)&gt;2022-09-12&gt;1. open</t>
  </si>
  <si>
    <t>&gt;Time Series (Daily)&gt;2022-09-12&gt;2. high</t>
  </si>
  <si>
    <t>&gt;Time Series (Daily)&gt;2022-09-12&gt;3. low</t>
  </si>
  <si>
    <t>&gt;Time Series (Daily)&gt;2022-09-12&gt;4. close</t>
  </si>
  <si>
    <t>&gt;Time Series (Daily)&gt;2022-09-12&gt;5. volume</t>
  </si>
  <si>
    <t>&gt;Time Series (Daily)&gt;2022-09-23&gt;1. open</t>
  </si>
  <si>
    <t>&gt;Time Series (Daily)&gt;2022-09-23&gt;2. high</t>
  </si>
  <si>
    <t>&gt;Time Series (Daily)&gt;2022-09-23&gt;3. low</t>
  </si>
  <si>
    <t>&gt;Time Series (Daily)&gt;2022-09-23&gt;4. close</t>
  </si>
  <si>
    <t>&gt;Time Series (Daily)&gt;2022-09-23&gt;5. volume</t>
  </si>
  <si>
    <t>&gt;Time Series (Daily)&gt;2022-09-22&gt;1. open</t>
  </si>
  <si>
    <t>&gt;Time Series (Daily)&gt;2022-09-22&gt;2. high</t>
  </si>
  <si>
    <t>&gt;Time Series (Daily)&gt;2022-09-22&gt;3. low</t>
  </si>
  <si>
    <t>&gt;Time Series (Daily)&gt;2022-09-22&gt;4. close</t>
  </si>
  <si>
    <t>&gt;Time Series (Daily)&gt;2022-09-22&gt;5. volume</t>
  </si>
  <si>
    <t>&gt;Time Series (Daily)&gt;2022-09-21&gt;1. open</t>
  </si>
  <si>
    <t>&gt;Time Series (Daily)&gt;2022-09-21&gt;2. high</t>
  </si>
  <si>
    <t>&gt;Time Series (Daily)&gt;2022-09-21&gt;3. low</t>
  </si>
  <si>
    <t>&gt;Time Series (Daily)&gt;2022-09-21&gt;4. close</t>
  </si>
  <si>
    <t>&gt;Time Series (Daily)&gt;2022-09-21&gt;5. volume</t>
  </si>
  <si>
    <t>&gt;Time Series (Daily)&gt;2022-09-20&gt;1. open</t>
  </si>
  <si>
    <t>&gt;Time Series (Daily)&gt;2022-09-20&gt;2. high</t>
  </si>
  <si>
    <t>&gt;Time Series (Daily)&gt;2022-09-20&gt;3. low</t>
  </si>
  <si>
    <t>&gt;Time Series (Daily)&gt;2022-09-20&gt;4. close</t>
  </si>
  <si>
    <t>&gt;Time Series (Daily)&gt;2022-09-20&gt;5. volume</t>
  </si>
  <si>
    <t>&gt;Time Series (Daily)&gt;2022-09-19&gt;1. open</t>
  </si>
  <si>
    <t>&gt;Time Series (Daily)&gt;2022-09-19&gt;2. high</t>
  </si>
  <si>
    <t>&gt;Time Series (Daily)&gt;2022-09-19&gt;3. low</t>
  </si>
  <si>
    <t>&gt;Time Series (Daily)&gt;2022-09-19&gt;4. close</t>
  </si>
  <si>
    <t>&gt;Time Series (Daily)&gt;2022-09-19&gt;5. volume</t>
  </si>
  <si>
    <t>&gt;Time Series (Daily)&gt;2022-09-30&gt;1. open</t>
  </si>
  <si>
    <t>&gt;Time Series (Daily)&gt;2022-09-30&gt;2. high</t>
  </si>
  <si>
    <t>&gt;Time Series (Daily)&gt;2022-09-30&gt;3. low</t>
  </si>
  <si>
    <t>&gt;Time Series (Daily)&gt;2022-09-30&gt;4. close</t>
  </si>
  <si>
    <t>&gt;Time Series (Daily)&gt;2022-09-30&gt;5. volume</t>
  </si>
  <si>
    <t>&gt;Time Series (Daily)&gt;2022-09-29&gt;1. open</t>
  </si>
  <si>
    <t>&gt;Time Series (Daily)&gt;2022-09-29&gt;2. high</t>
  </si>
  <si>
    <t>&gt;Time Series (Daily)&gt;2022-09-29&gt;3. low</t>
  </si>
  <si>
    <t>&gt;Time Series (Daily)&gt;2022-09-29&gt;4. close</t>
  </si>
  <si>
    <t>&gt;Time Series (Daily)&gt;2022-09-29&gt;5. volume</t>
  </si>
  <si>
    <t>&gt;Time Series (Daily)&gt;2022-09-28&gt;1. open</t>
  </si>
  <si>
    <t>&gt;Time Series (Daily)&gt;2022-09-28&gt;2. high</t>
  </si>
  <si>
    <t>&gt;Time Series (Daily)&gt;2022-09-28&gt;3. low</t>
  </si>
  <si>
    <t>&gt;Time Series (Daily)&gt;2022-09-28&gt;4. close</t>
  </si>
  <si>
    <t>&gt;Time Series (Daily)&gt;2022-09-28&gt;5. volume</t>
  </si>
  <si>
    <t>&gt;Time Series (Daily)&gt;2022-09-27&gt;1. open</t>
  </si>
  <si>
    <t>&gt;Time Series (Daily)&gt;2022-09-27&gt;2. high</t>
  </si>
  <si>
    <t>&gt;Time Series (Daily)&gt;2022-09-27&gt;3. low</t>
  </si>
  <si>
    <t>&gt;Time Series (Daily)&gt;2022-09-27&gt;4. close</t>
  </si>
  <si>
    <t>&gt;Time Series (Daily)&gt;2022-09-27&gt;5. volume</t>
  </si>
  <si>
    <t>&gt;Time Series (Daily)&gt;2022-09-26&gt;1. open</t>
  </si>
  <si>
    <t>&gt;Time Series (Daily)&gt;2022-09-26&gt;2. high</t>
  </si>
  <si>
    <t>&gt;Time Series (Daily)&gt;2022-09-26&gt;3. low</t>
  </si>
  <si>
    <t>&gt;Time Series (Daily)&gt;2022-09-26&gt;4. close</t>
  </si>
  <si>
    <t>&gt;Time Series (Daily)&gt;2022-09-26&gt;5. volume</t>
  </si>
  <si>
    <t>&gt;Time Series (Daily)&gt;2022-10-07&gt;1. open</t>
  </si>
  <si>
    <t>&gt;Time Series (Daily)&gt;2022-10-07&gt;2. high</t>
  </si>
  <si>
    <t>&gt;Time Series (Daily)&gt;2022-10-07&gt;3. low</t>
  </si>
  <si>
    <t>&gt;Time Series (Daily)&gt;2022-10-07&gt;4. close</t>
  </si>
  <si>
    <t>&gt;Time Series (Daily)&gt;2022-10-07&gt;5. volume</t>
  </si>
  <si>
    <t>&gt;Time Series (Daily)&gt;2022-10-06&gt;1. open</t>
  </si>
  <si>
    <t>&gt;Time Series (Daily)&gt;2022-10-06&gt;2. high</t>
  </si>
  <si>
    <t>&gt;Time Series (Daily)&gt;2022-10-06&gt;3. low</t>
  </si>
  <si>
    <t>&gt;Time Series (Daily)&gt;2022-10-06&gt;4. close</t>
  </si>
  <si>
    <t>&gt;Time Series (Daily)&gt;2022-10-06&gt;5. volume</t>
  </si>
  <si>
    <t>&gt;Time Series (Daily)&gt;2022-10-05&gt;1. open</t>
  </si>
  <si>
    <t>&gt;Time Series (Daily)&gt;2022-10-05&gt;2. high</t>
  </si>
  <si>
    <t>&gt;Time Series (Daily)&gt;2022-10-05&gt;3. low</t>
  </si>
  <si>
    <t>&gt;Time Series (Daily)&gt;2022-10-05&gt;4. close</t>
  </si>
  <si>
    <t>&gt;Time Series (Daily)&gt;2022-10-05&gt;5. volume</t>
  </si>
  <si>
    <t>&gt;Time Series (Daily)&gt;2022-10-04&gt;1. open</t>
  </si>
  <si>
    <t>&gt;Time Series (Daily)&gt;2022-10-04&gt;2. high</t>
  </si>
  <si>
    <t>&gt;Time Series (Daily)&gt;2022-10-04&gt;3. low</t>
  </si>
  <si>
    <t>&gt;Time Series (Daily)&gt;2022-10-04&gt;4. close</t>
  </si>
  <si>
    <t>&gt;Time Series (Daily)&gt;2022-10-04&gt;5. volume</t>
  </si>
  <si>
    <t>&gt;Time Series (Daily)&gt;2022-10-03&gt;1. open</t>
  </si>
  <si>
    <t>&gt;Time Series (Daily)&gt;2022-10-03&gt;2. high</t>
  </si>
  <si>
    <t>&gt;Time Series (Daily)&gt;2022-10-03&gt;3. low</t>
  </si>
  <si>
    <t>&gt;Time Series (Daily)&gt;2022-10-03&gt;4. close</t>
  </si>
  <si>
    <t>&gt;Time Series (Daily)&gt;2022-10-03&gt;5. volume</t>
  </si>
  <si>
    <t>CVS Health</t>
  </si>
  <si>
    <t>CVS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</si>
</sst>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
    <numFmt numFmtId="166" formatCode="#,##0.0000"/>
  </numFmts>
  <fonts count="10">
    <font>
      <sz val="11"/>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11"/>
      <color rgb="FF000000"/>
      <name val="Calibri"/>
      <family val="2"/>
    </font>
    <font>
      <sz val="10"/>
      <color rgb="FF000000"/>
      <name val="Arial Unicode MS"/>
    </font>
    <font>
      <sz val="9"/>
      <color indexed="81"/>
      <name val="Segoe UI"/>
      <family val="2"/>
    </font>
    <font>
      <b/>
      <sz val="9"/>
      <color indexed="81"/>
      <name val="Segoe UI"/>
      <family val="2"/>
    </font>
    <font>
      <sz val="11"/>
      <color rgb="FFFF0000"/>
      <name val="Calibri"/>
      <family val="2"/>
      <scheme val="minor"/>
    </font>
    <font>
      <b/>
      <sz val="11"/>
      <name val="Calibri"/>
      <family val="2"/>
      <scheme val="minor"/>
    </font>
  </fonts>
  <fills count="7">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2"/>
        <bgColor indexed="64"/>
      </patternFill>
    </fill>
    <fill>
      <patternFill patternType="solid">
        <fgColor theme="5"/>
        <bgColor indexed="64"/>
      </patternFill>
    </fill>
    <fill>
      <patternFill patternType="solid">
        <fgColor theme="4" tint="0.59999389629810485"/>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2" fillId="0" borderId="0" applyNumberFormat="0" applyFill="0" applyBorder="0" applyAlignment="0" applyProtection="0"/>
  </cellStyleXfs>
  <cellXfs count="33">
    <xf numFmtId="0" fontId="0" fillId="0" borderId="0" xfId="0"/>
    <xf numFmtId="49" fontId="1" fillId="0" borderId="0" xfId="0" applyNumberFormat="1" applyFont="1"/>
    <xf numFmtId="49" fontId="0" fillId="0" borderId="0" xfId="0" applyNumberFormat="1"/>
    <xf numFmtId="0" fontId="2" fillId="0" borderId="0" xfId="1"/>
    <xf numFmtId="0" fontId="0" fillId="0" borderId="0" xfId="0" applyAlignment="1">
      <alignment wrapText="1"/>
    </xf>
    <xf numFmtId="0" fontId="3" fillId="0" borderId="0" xfId="0" applyFont="1"/>
    <xf numFmtId="164" fontId="0" fillId="0" borderId="0" xfId="0" applyNumberFormat="1" applyAlignment="1">
      <alignment horizontal="left"/>
    </xf>
    <xf numFmtId="0" fontId="1" fillId="0" borderId="0" xfId="0" applyFont="1"/>
    <xf numFmtId="0" fontId="5" fillId="0" borderId="0" xfId="0" applyFont="1" applyAlignment="1">
      <alignment vertical="center"/>
    </xf>
    <xf numFmtId="0" fontId="5" fillId="2" borderId="0" xfId="0" applyFont="1" applyFill="1" applyAlignment="1">
      <alignment vertical="center"/>
    </xf>
    <xf numFmtId="0" fontId="5" fillId="3" borderId="0" xfId="0" applyFont="1" applyFill="1" applyAlignment="1">
      <alignment vertical="center"/>
    </xf>
    <xf numFmtId="4" fontId="0" fillId="0" borderId="0" xfId="0" applyNumberFormat="1"/>
    <xf numFmtId="164" fontId="0" fillId="0" borderId="0" xfId="0" applyNumberFormat="1"/>
    <xf numFmtId="165" fontId="0" fillId="0" borderId="0" xfId="0" applyNumberFormat="1" applyAlignment="1">
      <alignment horizontal="left"/>
    </xf>
    <xf numFmtId="166" fontId="0" fillId="0" borderId="0" xfId="0" applyNumberFormat="1" applyAlignment="1">
      <alignment horizontal="left"/>
    </xf>
    <xf numFmtId="0" fontId="0" fillId="0" borderId="0" xfId="0" applyAlignment="1">
      <alignment horizontal="right"/>
    </xf>
    <xf numFmtId="14" fontId="0" fillId="0" borderId="0" xfId="0" applyNumberFormat="1" applyAlignment="1">
      <alignment horizontal="right"/>
    </xf>
    <xf numFmtId="0" fontId="0" fillId="2" borderId="0" xfId="0" applyFill="1"/>
    <xf numFmtId="0" fontId="0" fillId="2" borderId="0" xfId="0" applyFill="1" applyAlignment="1">
      <alignment horizontal="right"/>
    </xf>
    <xf numFmtId="10" fontId="0" fillId="2" borderId="0" xfId="0" applyNumberFormat="1" applyFill="1" applyAlignment="1">
      <alignment horizontal="right"/>
    </xf>
    <xf numFmtId="22" fontId="0" fillId="0" borderId="0" xfId="0" applyNumberFormat="1" applyAlignment="1">
      <alignment horizontal="right"/>
    </xf>
    <xf numFmtId="166" fontId="0" fillId="0" borderId="0" xfId="0" applyNumberFormat="1" applyAlignment="1">
      <alignment horizontal="right"/>
    </xf>
    <xf numFmtId="164" fontId="0" fillId="0" borderId="1" xfId="0" applyNumberFormat="1" applyBorder="1" applyAlignment="1">
      <alignment horizontal="right"/>
    </xf>
    <xf numFmtId="164" fontId="1" fillId="0" borderId="0" xfId="0" applyNumberFormat="1" applyFont="1" applyAlignment="1">
      <alignment horizontal="left"/>
    </xf>
    <xf numFmtId="4" fontId="1" fillId="0" borderId="0" xfId="0" applyNumberFormat="1" applyFont="1"/>
    <xf numFmtId="0" fontId="3" fillId="0" borderId="0" xfId="0" applyFont="1" applyAlignment="1">
      <alignment horizontal="right"/>
    </xf>
    <xf numFmtId="10" fontId="0" fillId="0" borderId="0" xfId="0" applyNumberFormat="1"/>
    <xf numFmtId="0" fontId="9" fillId="0" borderId="0" xfId="0" applyFont="1"/>
    <xf numFmtId="4" fontId="0" fillId="4" borderId="0" xfId="0" applyNumberFormat="1" applyFill="1"/>
    <xf numFmtId="0" fontId="8" fillId="0" borderId="0" xfId="0" applyFont="1"/>
    <xf numFmtId="0" fontId="1" fillId="5" borderId="0" xfId="0" applyFont="1" applyFill="1"/>
    <xf numFmtId="0" fontId="1" fillId="6" borderId="0" xfId="0" applyFont="1" applyFill="1"/>
    <xf numFmtId="0" fontId="0" fillId="0" borderId="0" xfId="0" applyAlignment="1">
      <alignment horizontal="center"/>
    </xf>
  </cellXfs>
  <cellStyles count="2">
    <cellStyle name="Link" xfId="1" builtinId="8"/>
    <cellStyle name="Standard" xfId="0" builtinId="0"/>
  </cellStyles>
  <dxfs count="52">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251460</xdr:colOff>
          <xdr:row>4</xdr:row>
          <xdr:rowOff>99060</xdr:rowOff>
        </xdr:from>
        <xdr:to>
          <xdr:col>7</xdr:col>
          <xdr:colOff>822960</xdr:colOff>
          <xdr:row>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2.) MAIN_ROUTINE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259080</xdr:colOff>
          <xdr:row>2</xdr:row>
          <xdr:rowOff>99060</xdr:rowOff>
        </xdr:from>
        <xdr:to>
          <xdr:col>7</xdr:col>
          <xdr:colOff>815340</xdr:colOff>
          <xdr:row>4</xdr:row>
          <xdr:rowOff>45720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1.) 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259080</xdr:colOff>
          <xdr:row>0</xdr:row>
          <xdr:rowOff>129540</xdr:rowOff>
        </xdr:from>
        <xdr:to>
          <xdr:col>7</xdr:col>
          <xdr:colOff>815340</xdr:colOff>
          <xdr:row>2</xdr:row>
          <xdr:rowOff>60960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0.) Read Ticker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411480</xdr:colOff>
          <xdr:row>4</xdr:row>
          <xdr:rowOff>99060</xdr:rowOff>
        </xdr:from>
        <xdr:to>
          <xdr:col>11</xdr:col>
          <xdr:colOff>685800</xdr:colOff>
          <xdr:row>7</xdr:row>
          <xdr:rowOff>106680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ADO_WriteAllDataToSql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441960</xdr:colOff>
          <xdr:row>1</xdr:row>
          <xdr:rowOff>22860</xdr:rowOff>
        </xdr:from>
        <xdr:to>
          <xdr:col>11</xdr:col>
          <xdr:colOff>678180</xdr:colOff>
          <xdr:row>4</xdr:row>
          <xdr:rowOff>7620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ADO_DeleteAllDataFromSql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5</xdr:row>
          <xdr:rowOff>7620</xdr:rowOff>
        </xdr:from>
        <xdr:to>
          <xdr:col>9</xdr:col>
          <xdr:colOff>205740</xdr:colOff>
          <xdr:row>7</xdr:row>
          <xdr:rowOff>129540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100-000003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 GET Data from 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1</xdr:row>
          <xdr:rowOff>38100</xdr:rowOff>
        </xdr:from>
        <xdr:to>
          <xdr:col>9</xdr:col>
          <xdr:colOff>228600</xdr:colOff>
          <xdr:row>4</xdr:row>
          <xdr:rowOff>38100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1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ADO_UpdateDataToSql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449580</xdr:colOff>
          <xdr:row>8</xdr:row>
          <xdr:rowOff>76200</xdr:rowOff>
        </xdr:from>
        <xdr:to>
          <xdr:col>11</xdr:col>
          <xdr:colOff>685800</xdr:colOff>
          <xdr:row>11</xdr:row>
          <xdr:rowOff>38100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100-000005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ADO_WriteONEDataset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68580</xdr:colOff>
          <xdr:row>0</xdr:row>
          <xdr:rowOff>129540</xdr:rowOff>
        </xdr:from>
        <xdr:to>
          <xdr:col>14</xdr:col>
          <xdr:colOff>495300</xdr:colOff>
          <xdr:row>4</xdr:row>
          <xdr:rowOff>15240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Schaltfläche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327660</xdr:colOff>
          <xdr:row>0</xdr:row>
          <xdr:rowOff>114300</xdr:rowOff>
        </xdr:from>
        <xdr:to>
          <xdr:col>9</xdr:col>
          <xdr:colOff>754380</xdr:colOff>
          <xdr:row>4</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Schaltfläche 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685800</xdr:colOff>
          <xdr:row>0</xdr:row>
          <xdr:rowOff>137160</xdr:rowOff>
        </xdr:from>
        <xdr:to>
          <xdr:col>12</xdr:col>
          <xdr:colOff>129540</xdr:colOff>
          <xdr:row>3</xdr:row>
          <xdr:rowOff>76200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GLOBAL_QUOTE_Routine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396240</xdr:colOff>
          <xdr:row>1</xdr:row>
          <xdr:rowOff>0</xdr:rowOff>
        </xdr:from>
        <xdr:to>
          <xdr:col>8</xdr:col>
          <xdr:colOff>624840</xdr:colOff>
          <xdr:row>3</xdr:row>
          <xdr:rowOff>175260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CURRENCY_EXCHANGE_RATE_Routine</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alphavantage.co/query?function=SYMBOL_SEARCH&amp;keywords=tencent&amp;apikey=GA9BJPHYSFYBYTJK" TargetMode="External"/><Relationship Id="rId13" Type="http://schemas.openxmlformats.org/officeDocument/2006/relationships/ctrlProp" Target="../ctrlProps/ctrlProp5.xml"/><Relationship Id="rId3" Type="http://schemas.openxmlformats.org/officeDocument/2006/relationships/hyperlink" Target="https://www.alphavantage.co/query?function=OVERVIEW&amp;symbol=T&amp;apikey=GA9BJPHYSFYBYTJK" TargetMode="External"/><Relationship Id="rId7" Type="http://schemas.openxmlformats.org/officeDocument/2006/relationships/hyperlink" Target="https://www.alphavantage.co/query?function=RSI&amp;symbol=DTE.FRK&amp;interval=daily&amp;time_period=10&amp;series_type=open&amp;apikey=GA9BJPHYSFYBYTJK" TargetMode="External"/><Relationship Id="rId12" Type="http://schemas.openxmlformats.org/officeDocument/2006/relationships/ctrlProp" Target="../ctrlProps/ctrlProp4.xml"/><Relationship Id="rId2" Type="http://schemas.openxmlformats.org/officeDocument/2006/relationships/hyperlink" Target="https://www.alphavantage.co/query?function=TIME_SERIES_DAILY_ADJUSTED&amp;symbol=DTE.FRK&amp;apikey=GA9BJPHYSFYBYTJK" TargetMode="External"/><Relationship Id="rId16" Type="http://schemas.openxmlformats.org/officeDocument/2006/relationships/ctrlProp" Target="../ctrlProps/ctrlProp8.xml"/><Relationship Id="rId1" Type="http://schemas.openxmlformats.org/officeDocument/2006/relationships/hyperlink" Target="https://www.alphavantage.co/query?function=GLOBAL_QUOTE&amp;symbol=DTE.FRK&amp;apikey=GA9BJPHYSFYBYTJK" TargetMode="External"/><Relationship Id="rId6" Type="http://schemas.openxmlformats.org/officeDocument/2006/relationships/hyperlink" Target="https://www.alphavantage.co/query?function=SMA&amp;symbol=DTE.FRK&amp;interval=daily&amp;time_period=200&amp;series_type=open&amp;apikey=GA9BJPHYSFYBYTJK" TargetMode="External"/><Relationship Id="rId11" Type="http://schemas.openxmlformats.org/officeDocument/2006/relationships/vmlDrawing" Target="../drawings/vmlDrawing2.vml"/><Relationship Id="rId5" Type="http://schemas.openxmlformats.org/officeDocument/2006/relationships/hyperlink" Target="https://www.alphavantage.co/query?function=CURRENCY_EXCHANGE_RATE&amp;from_currency=BTC&amp;to_currency=USD&amp;apikey=GA9BJPHYSFYBYTJK" TargetMode="External"/><Relationship Id="rId15" Type="http://schemas.openxmlformats.org/officeDocument/2006/relationships/ctrlProp" Target="../ctrlProps/ctrlProp7.xml"/><Relationship Id="rId10" Type="http://schemas.openxmlformats.org/officeDocument/2006/relationships/drawing" Target="../drawings/drawing2.xml"/><Relationship Id="rId4" Type="http://schemas.openxmlformats.org/officeDocument/2006/relationships/hyperlink" Target="https://www.alphavantage.co/query?function=CURRENCY_EXCHANGE_RATE&amp;from_currency=USD&amp;to_currency=JPY&amp;apikey=demo" TargetMode="External"/><Relationship Id="rId9" Type="http://schemas.openxmlformats.org/officeDocument/2006/relationships/printerSettings" Target="../printerSettings/printerSettings2.bin"/><Relationship Id="rId1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O55"/>
  <sheetViews>
    <sheetView tabSelected="1" topLeftCell="B9" zoomScale="70" zoomScaleNormal="70" workbookViewId="0">
      <selection activeCell="R26" sqref="R26"/>
    </sheetView>
  </sheetViews>
  <sheetFormatPr baseColWidth="10" defaultRowHeight="14.4"/>
  <cols>
    <col min="1" max="1" width="26" customWidth="1"/>
    <col min="2" max="2" width="20.6640625" customWidth="1"/>
    <col min="3" max="3" width="16.21875" customWidth="1"/>
    <col min="4" max="4" width="14.88671875" customWidth="1"/>
    <col min="5" max="5" width="15" customWidth="1"/>
    <col min="6" max="6" width="5.33203125" customWidth="1"/>
    <col min="7" max="7" width="14.6640625" customWidth="1"/>
    <col min="8" max="8" width="16.109375" customWidth="1"/>
    <col min="9" max="9" width="16.44140625" customWidth="1"/>
    <col min="10" max="10" width="17.33203125" customWidth="1"/>
    <col min="11" max="11" width="18.5546875" customWidth="1"/>
    <col min="12" max="12" width="18.109375" customWidth="1"/>
    <col min="13" max="13" width="19.33203125" customWidth="1"/>
    <col min="14" max="14" width="16.5546875" customWidth="1"/>
    <col min="15" max="15" width="33.21875" customWidth="1"/>
  </cols>
  <sheetData>
    <row r="1" spans="1:15">
      <c r="A1" t="s">
        <v>17</v>
      </c>
      <c r="B1" s="3"/>
    </row>
    <row r="2" spans="1:15" ht="15" thickBot="1">
      <c r="A2" t="s">
        <v>18</v>
      </c>
      <c r="B2" t="s">
        <v>198</v>
      </c>
      <c r="D2" s="7" t="s">
        <v>25</v>
      </c>
      <c r="I2" s="7" t="s">
        <v>1131</v>
      </c>
      <c r="K2" t="s">
        <v>1082</v>
      </c>
    </row>
    <row r="3" spans="1:15" ht="15" thickBot="1">
      <c r="A3" t="s">
        <v>19</v>
      </c>
      <c r="B3" s="6">
        <f ca="1">TODAY()</f>
        <v>44855</v>
      </c>
      <c r="C3" s="6">
        <f ca="1">TODAY()-7</f>
        <v>44848</v>
      </c>
      <c r="D3" s="22" t="s">
        <v>197</v>
      </c>
      <c r="I3" s="2" t="s">
        <v>1230</v>
      </c>
      <c r="K3" t="s">
        <v>1083</v>
      </c>
    </row>
    <row r="4" spans="1:15">
      <c r="B4" s="6"/>
      <c r="C4" s="6"/>
      <c r="D4" s="12"/>
      <c r="K4" t="s">
        <v>1084</v>
      </c>
    </row>
    <row r="5" spans="1:15">
      <c r="B5" s="6"/>
      <c r="C5" s="6"/>
      <c r="D5" s="12"/>
      <c r="K5" t="s">
        <v>1085</v>
      </c>
    </row>
    <row r="6" spans="1:15">
      <c r="B6" s="6"/>
      <c r="C6" s="13"/>
      <c r="D6" s="12"/>
      <c r="K6" t="s">
        <v>1086</v>
      </c>
    </row>
    <row r="7" spans="1:15">
      <c r="A7" s="7" t="s">
        <v>213</v>
      </c>
      <c r="B7" s="23" t="s">
        <v>197</v>
      </c>
      <c r="C7" s="14"/>
      <c r="D7" s="21">
        <f>CURRENCY_EXCHANGE_RATE!H8</f>
        <v>1.0257461999999999</v>
      </c>
    </row>
    <row r="8" spans="1:15">
      <c r="B8" s="6" t="s">
        <v>1150</v>
      </c>
      <c r="C8" s="6"/>
      <c r="D8" s="12"/>
      <c r="J8">
        <f>COUNTIF(J10:J52, " &gt; 10")</f>
        <v>0</v>
      </c>
      <c r="K8" s="32">
        <v>12</v>
      </c>
      <c r="L8" s="32">
        <f>COUNTIF(L10:L52," &gt;0.95")</f>
        <v>0</v>
      </c>
    </row>
    <row r="9" spans="1:15" s="7" customFormat="1">
      <c r="A9" s="7" t="s">
        <v>20</v>
      </c>
      <c r="B9" s="31" t="s">
        <v>24</v>
      </c>
      <c r="C9" s="1" t="s">
        <v>21</v>
      </c>
      <c r="D9" s="27" t="s">
        <v>211</v>
      </c>
      <c r="E9" s="30" t="s">
        <v>212</v>
      </c>
      <c r="F9" s="5" t="s">
        <v>1130</v>
      </c>
      <c r="G9" s="7" t="s">
        <v>1065</v>
      </c>
      <c r="H9" s="7" t="s">
        <v>1066</v>
      </c>
      <c r="I9" s="30" t="s">
        <v>1067</v>
      </c>
      <c r="J9" s="30" t="s">
        <v>1068</v>
      </c>
      <c r="K9" s="30" t="s">
        <v>1077</v>
      </c>
      <c r="L9" s="30" t="s">
        <v>1076</v>
      </c>
      <c r="M9" s="7" t="s">
        <v>1081</v>
      </c>
      <c r="N9" s="30" t="s">
        <v>1129</v>
      </c>
      <c r="O9" s="7" t="s">
        <v>1153</v>
      </c>
    </row>
    <row r="10" spans="1:15">
      <c r="A10" t="s">
        <v>10</v>
      </c>
      <c r="B10" t="s">
        <v>9</v>
      </c>
      <c r="C10" s="28">
        <v>14.94</v>
      </c>
      <c r="D10" t="s">
        <v>197</v>
      </c>
      <c r="E10" s="11">
        <f>M10*((D10="USD")*C10/$D$7+(D10="EUR")*C10)</f>
        <v>14.56500643141549</v>
      </c>
      <c r="G10" s="28">
        <v>14.94</v>
      </c>
      <c r="H10" s="28">
        <v>21.32</v>
      </c>
      <c r="I10" s="11">
        <f t="shared" ref="I10:I21" si="0">M10*((D10="USD")*G10/$D$7+(D10="EUR")*G10)</f>
        <v>14.56500643141549</v>
      </c>
      <c r="J10" s="11">
        <f t="shared" ref="J10:J21" si="1">M10*((D10="USD")*H10/$D$7+(D10="EUR")*H10)</f>
        <v>20.78486861564781</v>
      </c>
      <c r="K10" s="26">
        <f t="shared" ref="K10:K13" si="2">E10/I10</f>
        <v>1</v>
      </c>
      <c r="L10" s="26">
        <f t="shared" ref="L10:L21" si="3">E10/J10</f>
        <v>0.70075046904315197</v>
      </c>
      <c r="M10" s="11">
        <v>1</v>
      </c>
      <c r="N10" s="26">
        <f>J10/I10-100%</f>
        <v>0.42704149933065616</v>
      </c>
    </row>
    <row r="11" spans="1:15">
      <c r="A11" t="s">
        <v>1078</v>
      </c>
      <c r="B11" t="s">
        <v>1078</v>
      </c>
      <c r="C11" s="28">
        <v>31.08</v>
      </c>
      <c r="D11" t="s">
        <v>197</v>
      </c>
      <c r="E11" s="11">
        <f>M11*((D11="USD")*C11/$D$7+(D11="EUR")*C11)</f>
        <v>5.0499821495804706</v>
      </c>
      <c r="G11" s="28">
        <v>26.02</v>
      </c>
      <c r="H11" s="28">
        <v>34.19</v>
      </c>
      <c r="I11" s="11">
        <f t="shared" si="0"/>
        <v>4.2278164585612572</v>
      </c>
      <c r="J11" s="11">
        <f t="shared" si="1"/>
        <v>5.5553053312148108</v>
      </c>
      <c r="K11" s="26">
        <f t="shared" si="2"/>
        <v>1.1944657955418907</v>
      </c>
      <c r="L11" s="26">
        <f t="shared" si="3"/>
        <v>0.90903773033050583</v>
      </c>
      <c r="M11" s="11">
        <v>0.16666666666666666</v>
      </c>
      <c r="N11" s="26">
        <f>J11/I11-100%</f>
        <v>0.31398923904688703</v>
      </c>
    </row>
    <row r="12" spans="1:15">
      <c r="A12" t="s">
        <v>12</v>
      </c>
      <c r="B12" t="s">
        <v>29</v>
      </c>
      <c r="C12" s="28">
        <v>41.094999999999999</v>
      </c>
      <c r="D12" t="s">
        <v>213</v>
      </c>
      <c r="E12" s="11">
        <f>M12*((D12="USD")*C12/$D$7+(D12="EUR")*C12)</f>
        <v>41.094999999999999</v>
      </c>
      <c r="G12" s="28">
        <v>38.99</v>
      </c>
      <c r="H12" s="28">
        <v>52.92</v>
      </c>
      <c r="I12" s="11">
        <f t="shared" si="0"/>
        <v>38.99</v>
      </c>
      <c r="J12" s="11">
        <f t="shared" si="1"/>
        <v>52.92</v>
      </c>
      <c r="K12" s="26">
        <f t="shared" si="2"/>
        <v>1.0539882021031033</v>
      </c>
      <c r="L12" s="26">
        <f t="shared" si="3"/>
        <v>0.77654950869236583</v>
      </c>
      <c r="M12" s="11">
        <v>1</v>
      </c>
      <c r="N12" s="26">
        <f>J12/I12-100%</f>
        <v>0.35727109515260325</v>
      </c>
    </row>
    <row r="13" spans="1:15">
      <c r="A13" s="29" t="s">
        <v>0</v>
      </c>
      <c r="B13" t="s">
        <v>1223</v>
      </c>
      <c r="C13" s="28">
        <v>52.72</v>
      </c>
      <c r="D13" t="s">
        <v>213</v>
      </c>
      <c r="E13" s="11">
        <f t="shared" ref="E13:E52" si="4">M13*((D13="USD")*C13/$D$7+(D13="EUR")*C13)</f>
        <v>52.72</v>
      </c>
      <c r="G13" s="28">
        <v>51</v>
      </c>
      <c r="H13" s="28">
        <v>68.59</v>
      </c>
      <c r="I13" s="11">
        <f t="shared" si="0"/>
        <v>51</v>
      </c>
      <c r="J13" s="11">
        <f t="shared" si="1"/>
        <v>68.59</v>
      </c>
      <c r="K13" s="26">
        <f t="shared" si="2"/>
        <v>1.0337254901960784</v>
      </c>
      <c r="L13" s="26">
        <f t="shared" si="3"/>
        <v>0.76862516401807834</v>
      </c>
      <c r="M13" s="11">
        <v>1</v>
      </c>
      <c r="N13" s="26">
        <f t="shared" ref="N13:N52" si="5">J13/I13-100%</f>
        <v>0.34490196078431379</v>
      </c>
    </row>
    <row r="14" spans="1:15">
      <c r="A14" t="s">
        <v>22</v>
      </c>
      <c r="B14" t="s">
        <v>30</v>
      </c>
      <c r="C14" s="28">
        <v>164.58</v>
      </c>
      <c r="D14" t="s">
        <v>213</v>
      </c>
      <c r="E14" s="11">
        <f t="shared" si="4"/>
        <v>164.58</v>
      </c>
      <c r="G14" s="28">
        <v>159.04</v>
      </c>
      <c r="H14" s="28">
        <v>200.45</v>
      </c>
      <c r="I14" s="11">
        <f t="shared" si="0"/>
        <v>159.04</v>
      </c>
      <c r="J14" s="11">
        <f t="shared" si="1"/>
        <v>200.45</v>
      </c>
      <c r="K14" s="26">
        <f>E14/I14</f>
        <v>1.034834004024145</v>
      </c>
      <c r="L14" s="26">
        <f t="shared" si="3"/>
        <v>0.82105263157894748</v>
      </c>
      <c r="M14" s="11">
        <v>1</v>
      </c>
      <c r="N14" s="26">
        <f t="shared" si="5"/>
        <v>0.26037474849094577</v>
      </c>
    </row>
    <row r="15" spans="1:15">
      <c r="A15" t="s">
        <v>1087</v>
      </c>
      <c r="B15" t="s">
        <v>1089</v>
      </c>
      <c r="C15" s="28">
        <v>103.36</v>
      </c>
      <c r="D15" t="s">
        <v>213</v>
      </c>
      <c r="E15" s="11">
        <f t="shared" si="4"/>
        <v>103.36</v>
      </c>
      <c r="G15" s="28">
        <v>95.41</v>
      </c>
      <c r="H15" s="28">
        <v>126.08</v>
      </c>
      <c r="I15" s="11">
        <f t="shared" si="0"/>
        <v>95.41</v>
      </c>
      <c r="J15" s="11">
        <f t="shared" si="1"/>
        <v>126.08</v>
      </c>
      <c r="K15" s="26">
        <f t="shared" ref="K15:K21" si="6">E15/I15</f>
        <v>1.0833245990986271</v>
      </c>
      <c r="L15" s="26">
        <f t="shared" si="3"/>
        <v>0.81979695431472077</v>
      </c>
      <c r="M15" s="11">
        <v>1</v>
      </c>
      <c r="N15" s="26">
        <f t="shared" si="5"/>
        <v>0.32145477413269052</v>
      </c>
    </row>
    <row r="16" spans="1:15">
      <c r="A16" t="s">
        <v>1088</v>
      </c>
      <c r="B16" t="s">
        <v>15</v>
      </c>
      <c r="C16" s="28">
        <v>124.27</v>
      </c>
      <c r="D16" t="s">
        <v>197</v>
      </c>
      <c r="E16" s="11">
        <f t="shared" si="4"/>
        <v>121.15082658848749</v>
      </c>
      <c r="G16" s="28">
        <v>124.27</v>
      </c>
      <c r="H16" s="28">
        <v>154.68</v>
      </c>
      <c r="I16" s="11">
        <f t="shared" si="0"/>
        <v>121.15082658848749</v>
      </c>
      <c r="J16" s="11">
        <f t="shared" si="1"/>
        <v>150.79753646662306</v>
      </c>
      <c r="K16" s="26">
        <f t="shared" si="6"/>
        <v>1</v>
      </c>
      <c r="L16" s="26">
        <f t="shared" si="3"/>
        <v>0.8034005689164726</v>
      </c>
      <c r="M16" s="11">
        <v>1</v>
      </c>
      <c r="N16" s="26">
        <f t="shared" si="5"/>
        <v>0.24470910115072031</v>
      </c>
    </row>
    <row r="17" spans="1:14">
      <c r="A17" t="s">
        <v>253</v>
      </c>
      <c r="B17" t="s">
        <v>16</v>
      </c>
      <c r="C17" s="28">
        <v>5.2305000000000001</v>
      </c>
      <c r="D17" t="s">
        <v>197</v>
      </c>
      <c r="E17" s="11">
        <f t="shared" si="4"/>
        <v>5.0992146010387369</v>
      </c>
      <c r="G17" s="28">
        <v>5.0599999999999996</v>
      </c>
      <c r="H17" s="28">
        <v>6.85</v>
      </c>
      <c r="I17" s="11">
        <f t="shared" si="0"/>
        <v>4.9329941461152869</v>
      </c>
      <c r="J17" s="11">
        <f t="shared" si="1"/>
        <v>6.6780651978042913</v>
      </c>
      <c r="K17" s="26">
        <f t="shared" si="6"/>
        <v>1.0336956521739131</v>
      </c>
      <c r="L17" s="26">
        <f t="shared" si="3"/>
        <v>0.7635766423357665</v>
      </c>
      <c r="M17" s="11">
        <v>1</v>
      </c>
      <c r="N17" s="26">
        <f t="shared" si="5"/>
        <v>0.35375494071146241</v>
      </c>
    </row>
    <row r="18" spans="1:14">
      <c r="A18" t="s">
        <v>199</v>
      </c>
      <c r="B18" t="s">
        <v>34</v>
      </c>
      <c r="C18" s="28">
        <v>90.17</v>
      </c>
      <c r="D18" t="s">
        <v>197</v>
      </c>
      <c r="E18" s="11">
        <f t="shared" si="4"/>
        <v>87.906735603797515</v>
      </c>
      <c r="G18" s="28">
        <v>69.55</v>
      </c>
      <c r="H18" s="28">
        <v>102.08</v>
      </c>
      <c r="I18" s="11">
        <f t="shared" si="0"/>
        <v>67.804297008363278</v>
      </c>
      <c r="J18" s="11">
        <f t="shared" si="1"/>
        <v>99.517794947717093</v>
      </c>
      <c r="K18" s="26">
        <f t="shared" si="6"/>
        <v>1.2964773544212798</v>
      </c>
      <c r="L18" s="26">
        <f t="shared" si="3"/>
        <v>0.88332680250783702</v>
      </c>
      <c r="M18" s="11">
        <v>1</v>
      </c>
      <c r="N18" s="26">
        <f t="shared" si="5"/>
        <v>0.46772106398274627</v>
      </c>
    </row>
    <row r="19" spans="1:14">
      <c r="A19" s="29" t="s">
        <v>1743</v>
      </c>
      <c r="B19" t="s">
        <v>1744</v>
      </c>
      <c r="C19" s="28">
        <v>34.78</v>
      </c>
      <c r="D19" t="s">
        <v>213</v>
      </c>
      <c r="E19" s="11">
        <f t="shared" si="4"/>
        <v>34.78</v>
      </c>
      <c r="G19" s="28">
        <v>34.4</v>
      </c>
      <c r="H19" s="28">
        <v>48.125</v>
      </c>
      <c r="I19" s="11">
        <f t="shared" si="0"/>
        <v>34.4</v>
      </c>
      <c r="J19" s="11">
        <f t="shared" si="1"/>
        <v>48.125</v>
      </c>
      <c r="K19" s="26">
        <f t="shared" si="6"/>
        <v>1.011046511627907</v>
      </c>
      <c r="L19" s="26">
        <f t="shared" si="3"/>
        <v>0.72270129870129873</v>
      </c>
      <c r="M19" s="11">
        <v>1</v>
      </c>
      <c r="N19" s="26">
        <f t="shared" si="5"/>
        <v>0.39898255813953498</v>
      </c>
    </row>
    <row r="20" spans="1:14">
      <c r="A20" t="s">
        <v>1167</v>
      </c>
      <c r="B20" t="s">
        <v>1151</v>
      </c>
      <c r="C20" s="28">
        <v>58.03</v>
      </c>
      <c r="D20" t="s">
        <v>197</v>
      </c>
      <c r="E20" s="11">
        <f t="shared" si="4"/>
        <v>56.573448675705556</v>
      </c>
      <c r="G20" s="28">
        <v>57.95</v>
      </c>
      <c r="H20" s="28">
        <v>74.75</v>
      </c>
      <c r="I20" s="11">
        <f t="shared" si="0"/>
        <v>56.495456673395431</v>
      </c>
      <c r="J20" s="11">
        <f t="shared" si="1"/>
        <v>72.873777158521278</v>
      </c>
      <c r="K20" s="26">
        <f t="shared" si="6"/>
        <v>1.0013805004314065</v>
      </c>
      <c r="L20" s="26">
        <f t="shared" si="3"/>
        <v>0.77632107023411379</v>
      </c>
      <c r="M20" s="11">
        <v>1</v>
      </c>
      <c r="N20" s="26">
        <f t="shared" si="5"/>
        <v>0.28990509059534064</v>
      </c>
    </row>
    <row r="21" spans="1:14">
      <c r="A21" t="s">
        <v>1164</v>
      </c>
      <c r="B21" t="s">
        <v>26</v>
      </c>
      <c r="C21" s="28">
        <v>17.696000000000002</v>
      </c>
      <c r="D21" t="s">
        <v>213</v>
      </c>
      <c r="E21" s="11">
        <f t="shared" si="4"/>
        <v>17.696000000000002</v>
      </c>
      <c r="G21" s="28">
        <v>17.474</v>
      </c>
      <c r="H21" s="28">
        <v>19.571999999999999</v>
      </c>
      <c r="I21" s="11">
        <f t="shared" si="0"/>
        <v>17.474</v>
      </c>
      <c r="J21" s="11">
        <f t="shared" si="1"/>
        <v>19.571999999999999</v>
      </c>
      <c r="K21" s="26">
        <f t="shared" si="6"/>
        <v>1.0127045896760902</v>
      </c>
      <c r="L21" s="26">
        <f t="shared" si="3"/>
        <v>0.90414878397711029</v>
      </c>
      <c r="M21" s="11">
        <v>1</v>
      </c>
      <c r="N21" s="26">
        <f t="shared" si="5"/>
        <v>0.12006409522719452</v>
      </c>
    </row>
    <row r="22" spans="1:14">
      <c r="A22" t="s">
        <v>1163</v>
      </c>
      <c r="B22" s="4" t="s">
        <v>1139</v>
      </c>
      <c r="C22" s="28">
        <v>44.41</v>
      </c>
      <c r="D22" t="s">
        <v>197</v>
      </c>
      <c r="E22" s="11">
        <f t="shared" si="4"/>
        <v>43.295310282407087</v>
      </c>
      <c r="G22" s="28">
        <v>43.39</v>
      </c>
      <c r="H22" s="28">
        <v>69.97</v>
      </c>
      <c r="I22" s="11">
        <f t="shared" ref="I22:I39" si="7">M22*((D22="USD")*G22/$D$7+(D22="EUR")*G22)</f>
        <v>42.300912252953026</v>
      </c>
      <c r="J22" s="11">
        <f t="shared" ref="J22:J39" si="8">M22*((D22="USD")*H22/$D$7+(D22="EUR")*H22)</f>
        <v>68.213755020491433</v>
      </c>
      <c r="K22" s="26">
        <f t="shared" ref="K22:K50" si="9">E22/I22</f>
        <v>1.0235077206729659</v>
      </c>
      <c r="L22" s="26">
        <f>E22/J22</f>
        <v>0.63470058596541357</v>
      </c>
      <c r="M22" s="11">
        <v>1</v>
      </c>
      <c r="N22" s="26">
        <f t="shared" si="5"/>
        <v>0.61258354459552899</v>
      </c>
    </row>
    <row r="23" spans="1:14">
      <c r="A23" t="s">
        <v>8</v>
      </c>
      <c r="B23" t="s">
        <v>7</v>
      </c>
      <c r="C23" s="28">
        <v>114.56</v>
      </c>
      <c r="D23" t="s">
        <v>197</v>
      </c>
      <c r="E23" s="11">
        <f t="shared" si="4"/>
        <v>111.6845473080963</v>
      </c>
      <c r="G23" s="28">
        <v>102.31</v>
      </c>
      <c r="H23" s="28">
        <v>2510.2199999999998</v>
      </c>
      <c r="I23" s="11">
        <f t="shared" ref="I23:I25" si="10">M23*((D23="USD")*G23/$D$7+(D23="EUR")*G23)</f>
        <v>99.742021954358705</v>
      </c>
      <c r="J23" s="11">
        <f t="shared" ref="J23:J25" si="11">M23*((D23="USD")*H23/$D$7+(D23="EUR")*H23)</f>
        <v>2447.2135504864655</v>
      </c>
      <c r="K23" s="26">
        <f t="shared" ref="K23:K25" si="12">E23/I23</f>
        <v>1.1197341413351578</v>
      </c>
      <c r="L23" s="26">
        <f t="shared" ref="L23" si="13">E23/J23</f>
        <v>4.5637434169116656E-2</v>
      </c>
      <c r="M23" s="11">
        <v>1</v>
      </c>
      <c r="N23" s="26">
        <f t="shared" si="5"/>
        <v>23.535431531619587</v>
      </c>
    </row>
    <row r="24" spans="1:14">
      <c r="A24" t="s">
        <v>1170</v>
      </c>
      <c r="B24" s="4" t="s">
        <v>1140</v>
      </c>
      <c r="C24" s="28">
        <v>60.05</v>
      </c>
      <c r="D24" t="s">
        <v>197</v>
      </c>
      <c r="E24" s="11">
        <f t="shared" si="4"/>
        <v>58.542746734036157</v>
      </c>
      <c r="G24" s="28">
        <v>53.63</v>
      </c>
      <c r="H24" s="28">
        <v>89.97</v>
      </c>
      <c r="I24" s="11">
        <f t="shared" si="10"/>
        <v>52.283888548648783</v>
      </c>
      <c r="J24" s="11">
        <f t="shared" si="11"/>
        <v>87.711755598022208</v>
      </c>
      <c r="K24" s="26">
        <f t="shared" si="12"/>
        <v>1.1197091180309526</v>
      </c>
      <c r="L24" s="26">
        <f>E24/J24</f>
        <v>0.66744470379015219</v>
      </c>
      <c r="M24" s="11">
        <v>1</v>
      </c>
      <c r="N24" s="26">
        <f t="shared" si="5"/>
        <v>0.67760581763938088</v>
      </c>
    </row>
    <row r="25" spans="1:14">
      <c r="A25" t="s">
        <v>4</v>
      </c>
      <c r="B25" t="s">
        <v>3</v>
      </c>
      <c r="C25" s="28">
        <v>42.32</v>
      </c>
      <c r="D25" t="s">
        <v>197</v>
      </c>
      <c r="E25" s="11">
        <f t="shared" si="4"/>
        <v>41.257769222055124</v>
      </c>
      <c r="G25" s="28">
        <v>42.32</v>
      </c>
      <c r="H25" s="28">
        <v>53.99</v>
      </c>
      <c r="I25" s="11">
        <f t="shared" si="10"/>
        <v>41.257769222055124</v>
      </c>
      <c r="J25" s="11">
        <f t="shared" si="11"/>
        <v>52.63485255904434</v>
      </c>
      <c r="K25" s="26">
        <f t="shared" si="12"/>
        <v>1</v>
      </c>
      <c r="L25" s="26">
        <f t="shared" ref="L25" si="14">E25/J25</f>
        <v>0.78384886090016659</v>
      </c>
      <c r="M25" s="11">
        <v>1</v>
      </c>
      <c r="N25" s="26">
        <f t="shared" si="5"/>
        <v>0.27575614366729706</v>
      </c>
    </row>
    <row r="26" spans="1:14">
      <c r="A26" t="s">
        <v>1145</v>
      </c>
      <c r="B26" s="4" t="s">
        <v>1144</v>
      </c>
      <c r="C26" s="28">
        <v>120.76</v>
      </c>
      <c r="D26" t="s">
        <v>197</v>
      </c>
      <c r="E26" s="11">
        <f t="shared" si="4"/>
        <v>117.72892748713085</v>
      </c>
      <c r="G26" s="28">
        <v>120.76</v>
      </c>
      <c r="H26" s="28">
        <v>195.92</v>
      </c>
      <c r="I26" s="11">
        <f t="shared" ref="I26:I30" si="15">M26*((D26="USD")*G26/$D$7+(D26="EUR")*G26)</f>
        <v>117.72892748713085</v>
      </c>
      <c r="J26" s="11">
        <f t="shared" ref="J26:J30" si="16">M26*((D26="USD")*H26/$D$7+(D26="EUR")*H26)</f>
        <v>191.0024136574915</v>
      </c>
      <c r="K26" s="26">
        <f t="shared" ref="K26:K30" si="17">E26/I26</f>
        <v>1</v>
      </c>
      <c r="L26" s="26">
        <f>E26/J26</f>
        <v>0.6163740302164149</v>
      </c>
      <c r="M26" s="11">
        <v>1</v>
      </c>
      <c r="N26" s="26">
        <f t="shared" si="5"/>
        <v>0.62239152037098355</v>
      </c>
    </row>
    <row r="27" spans="1:14">
      <c r="A27" t="s">
        <v>1166</v>
      </c>
      <c r="B27" t="s">
        <v>32</v>
      </c>
      <c r="C27" s="28">
        <v>26.965</v>
      </c>
      <c r="D27" t="s">
        <v>213</v>
      </c>
      <c r="E27" s="11">
        <f t="shared" si="4"/>
        <v>26.965</v>
      </c>
      <c r="G27" s="28">
        <v>26.315000000000001</v>
      </c>
      <c r="H27" s="28">
        <v>30.98</v>
      </c>
      <c r="I27" s="11">
        <f t="shared" si="15"/>
        <v>26.315000000000001</v>
      </c>
      <c r="J27" s="11">
        <f t="shared" si="16"/>
        <v>30.98</v>
      </c>
      <c r="K27" s="26">
        <f t="shared" si="17"/>
        <v>1.0247007410222306</v>
      </c>
      <c r="L27" s="26">
        <f t="shared" ref="L27:L28" si="18">E27/J27</f>
        <v>0.87040025823111689</v>
      </c>
      <c r="M27" s="11">
        <v>1</v>
      </c>
      <c r="N27" s="26">
        <f t="shared" si="5"/>
        <v>0.17727531825954768</v>
      </c>
    </row>
    <row r="28" spans="1:14">
      <c r="A28" t="s">
        <v>5</v>
      </c>
      <c r="B28" t="s">
        <v>6</v>
      </c>
      <c r="C28" s="28">
        <v>98.68</v>
      </c>
      <c r="D28" t="s">
        <v>197</v>
      </c>
      <c r="E28" s="11">
        <f t="shared" si="4"/>
        <v>96.203134849536866</v>
      </c>
      <c r="G28" s="28">
        <v>95.65</v>
      </c>
      <c r="H28" s="28">
        <v>2387.0700000000002</v>
      </c>
      <c r="I28" s="11">
        <f t="shared" si="15"/>
        <v>93.249187762040947</v>
      </c>
      <c r="J28" s="11">
        <f t="shared" si="16"/>
        <v>2327.1546119303198</v>
      </c>
      <c r="K28" s="26">
        <f t="shared" si="17"/>
        <v>1.0316779926816519</v>
      </c>
      <c r="L28" s="26">
        <f t="shared" si="18"/>
        <v>4.1339382590372301E-2</v>
      </c>
      <c r="M28" s="11">
        <v>1</v>
      </c>
      <c r="N28" s="26">
        <f t="shared" si="5"/>
        <v>23.956299006795611</v>
      </c>
    </row>
    <row r="29" spans="1:14">
      <c r="A29" t="s">
        <v>2</v>
      </c>
      <c r="B29" s="4" t="s">
        <v>1</v>
      </c>
      <c r="C29" s="28">
        <v>234.24</v>
      </c>
      <c r="D29" t="s">
        <v>197</v>
      </c>
      <c r="E29" s="11">
        <f t="shared" si="4"/>
        <v>228.36058276404049</v>
      </c>
      <c r="G29" s="28">
        <v>232.9</v>
      </c>
      <c r="H29" s="28">
        <v>293.47000000000003</v>
      </c>
      <c r="I29" s="11">
        <f t="shared" si="15"/>
        <v>227.05421672534592</v>
      </c>
      <c r="J29" s="11">
        <f t="shared" si="16"/>
        <v>286.10391147439788</v>
      </c>
      <c r="K29" s="26">
        <f t="shared" si="17"/>
        <v>1.0057535422928296</v>
      </c>
      <c r="L29" s="26">
        <f>E29/J29</f>
        <v>0.79817357821923884</v>
      </c>
      <c r="M29" s="11">
        <v>1</v>
      </c>
      <c r="N29" s="26">
        <f t="shared" si="5"/>
        <v>0.26006869901245167</v>
      </c>
    </row>
    <row r="30" spans="1:14">
      <c r="A30" t="s">
        <v>13</v>
      </c>
      <c r="B30" t="s">
        <v>33</v>
      </c>
      <c r="C30" s="28">
        <v>52.936</v>
      </c>
      <c r="D30" t="s">
        <v>213</v>
      </c>
      <c r="E30" s="11">
        <f t="shared" si="4"/>
        <v>52.936</v>
      </c>
      <c r="G30" s="28">
        <v>50.415999999999997</v>
      </c>
      <c r="H30" s="28">
        <v>59.472000000000001</v>
      </c>
      <c r="I30" s="11">
        <f t="shared" si="15"/>
        <v>50.415999999999997</v>
      </c>
      <c r="J30" s="11">
        <f t="shared" si="16"/>
        <v>59.472000000000001</v>
      </c>
      <c r="K30" s="26">
        <f t="shared" si="17"/>
        <v>1.0499841320215806</v>
      </c>
      <c r="L30" s="26">
        <f t="shared" ref="L30" si="19">E30/J30</f>
        <v>0.89009954264191549</v>
      </c>
      <c r="M30" s="11">
        <v>1</v>
      </c>
      <c r="N30" s="26">
        <f t="shared" si="5"/>
        <v>0.17962551570929874</v>
      </c>
    </row>
    <row r="31" spans="1:14">
      <c r="A31" t="s">
        <v>1135</v>
      </c>
      <c r="B31" s="4" t="s">
        <v>1136</v>
      </c>
      <c r="C31" s="28">
        <v>36.85</v>
      </c>
      <c r="D31" t="s">
        <v>197</v>
      </c>
      <c r="E31" s="11">
        <f t="shared" si="4"/>
        <v>35.925066064100463</v>
      </c>
      <c r="G31" s="28">
        <v>36.85</v>
      </c>
      <c r="H31" s="28">
        <v>52.09</v>
      </c>
      <c r="I31" s="11">
        <f t="shared" ref="I31:I32" si="20">M31*((D31="USD")*G31/$D$7+(D31="EUR")*G31)</f>
        <v>35.925066064100463</v>
      </c>
      <c r="J31" s="11">
        <f t="shared" ref="J31:J32" si="21">M31*((D31="USD")*H31/$D$7+(D31="EUR")*H31)</f>
        <v>50.782542504178913</v>
      </c>
      <c r="K31" s="26">
        <f t="shared" ref="K31:K32" si="22">E31/I31</f>
        <v>1</v>
      </c>
      <c r="L31" s="26">
        <f>E31/J31</f>
        <v>0.70742944903052418</v>
      </c>
      <c r="M31" s="11">
        <v>1</v>
      </c>
      <c r="N31" s="26">
        <f t="shared" si="5"/>
        <v>0.41356852103120745</v>
      </c>
    </row>
    <row r="32" spans="1:14">
      <c r="A32" t="s">
        <v>1132</v>
      </c>
      <c r="B32" s="4" t="s">
        <v>1133</v>
      </c>
      <c r="C32" s="28">
        <v>67</v>
      </c>
      <c r="D32" t="s">
        <v>197</v>
      </c>
      <c r="E32" s="11">
        <f t="shared" si="4"/>
        <v>65.318301934728112</v>
      </c>
      <c r="G32" s="28">
        <v>47.02</v>
      </c>
      <c r="H32" s="28">
        <v>98.02</v>
      </c>
      <c r="I32" s="11">
        <f t="shared" si="20"/>
        <v>45.839799357774865</v>
      </c>
      <c r="J32" s="11">
        <f t="shared" si="21"/>
        <v>95.559700830478334</v>
      </c>
      <c r="K32" s="26">
        <f t="shared" si="22"/>
        <v>1.4249255635899616</v>
      </c>
      <c r="L32" s="26">
        <f>E32/J32</f>
        <v>0.68353397265864124</v>
      </c>
      <c r="M32" s="11">
        <v>1</v>
      </c>
      <c r="N32" s="26">
        <f t="shared" si="5"/>
        <v>1.0846448319863882</v>
      </c>
    </row>
    <row r="33" spans="1:14">
      <c r="A33" t="s">
        <v>1158</v>
      </c>
      <c r="B33" s="4" t="s">
        <v>1159</v>
      </c>
      <c r="C33" s="28">
        <v>550.4</v>
      </c>
      <c r="D33" t="s">
        <v>197</v>
      </c>
      <c r="E33" s="11">
        <f t="shared" si="4"/>
        <v>536.58497589364697</v>
      </c>
      <c r="G33" s="28">
        <v>550.28</v>
      </c>
      <c r="H33" s="28">
        <v>757.07</v>
      </c>
      <c r="I33" s="11">
        <f t="shared" si="7"/>
        <v>536.4679878901818</v>
      </c>
      <c r="J33" s="11">
        <f t="shared" si="8"/>
        <v>738.06756486156132</v>
      </c>
      <c r="K33" s="26">
        <f t="shared" si="9"/>
        <v>1.0002180708003199</v>
      </c>
      <c r="L33" s="26">
        <f t="shared" ref="L33:L42" si="23">E33/J33</f>
        <v>0.72701335411520729</v>
      </c>
      <c r="M33" s="11">
        <v>1</v>
      </c>
      <c r="N33" s="26">
        <f t="shared" si="5"/>
        <v>0.37579050665115954</v>
      </c>
    </row>
    <row r="34" spans="1:14">
      <c r="A34" t="s">
        <v>14</v>
      </c>
      <c r="B34" t="s">
        <v>31</v>
      </c>
      <c r="C34" s="28">
        <v>10.997199999999999</v>
      </c>
      <c r="D34" t="s">
        <v>197</v>
      </c>
      <c r="E34" s="11">
        <f t="shared" si="4"/>
        <v>10.721170597561073</v>
      </c>
      <c r="G34" s="28">
        <v>10.3058</v>
      </c>
      <c r="H34" s="28">
        <v>13.65</v>
      </c>
      <c r="I34" s="11">
        <f t="shared" si="7"/>
        <v>10.047124717595834</v>
      </c>
      <c r="J34" s="11">
        <f t="shared" si="8"/>
        <v>13.307385394164756</v>
      </c>
      <c r="K34" s="26">
        <f t="shared" ref="K34:K36" si="24">E34/I34</f>
        <v>1.0670884356381845</v>
      </c>
      <c r="L34" s="26">
        <f t="shared" ref="L34:L36" si="25">E34/J34</f>
        <v>0.80565567765567769</v>
      </c>
      <c r="M34" s="11">
        <v>1</v>
      </c>
      <c r="N34" s="26">
        <f t="shared" si="5"/>
        <v>0.32449688524908327</v>
      </c>
    </row>
    <row r="35" spans="1:14">
      <c r="A35" t="s">
        <v>11</v>
      </c>
      <c r="B35" t="s">
        <v>28</v>
      </c>
      <c r="C35" s="28">
        <v>49.91</v>
      </c>
      <c r="D35" t="s">
        <v>197</v>
      </c>
      <c r="E35" s="11">
        <f t="shared" si="4"/>
        <v>48.657260441228054</v>
      </c>
      <c r="G35" s="28">
        <v>49.52</v>
      </c>
      <c r="H35" s="28">
        <v>66.47</v>
      </c>
      <c r="I35" s="11">
        <f t="shared" si="7"/>
        <v>48.277049429966212</v>
      </c>
      <c r="J35" s="11">
        <f t="shared" si="8"/>
        <v>64.801604919423539</v>
      </c>
      <c r="K35" s="26">
        <f t="shared" si="24"/>
        <v>1.0078756058158318</v>
      </c>
      <c r="L35" s="26">
        <f t="shared" si="25"/>
        <v>0.75086505190311414</v>
      </c>
      <c r="M35" s="11">
        <v>1</v>
      </c>
      <c r="N35" s="26">
        <f t="shared" si="5"/>
        <v>0.34228594507269783</v>
      </c>
    </row>
    <row r="36" spans="1:14">
      <c r="A36" t="s">
        <v>1169</v>
      </c>
      <c r="B36" t="s">
        <v>27</v>
      </c>
      <c r="C36" s="28">
        <v>87.03</v>
      </c>
      <c r="D36" t="s">
        <v>213</v>
      </c>
      <c r="E36" s="11">
        <f t="shared" si="4"/>
        <v>87.03</v>
      </c>
      <c r="G36" s="28">
        <v>80.81</v>
      </c>
      <c r="H36" s="28">
        <v>95.26</v>
      </c>
      <c r="I36" s="11">
        <f t="shared" ref="I36" si="26">M36*((D36="USD")*G36/$D$7+(D36="EUR")*G36)</f>
        <v>80.81</v>
      </c>
      <c r="J36" s="11">
        <f t="shared" si="8"/>
        <v>95.26</v>
      </c>
      <c r="K36" s="26">
        <f t="shared" si="24"/>
        <v>1.0769706719465413</v>
      </c>
      <c r="L36" s="26">
        <f t="shared" si="25"/>
        <v>0.91360487087969766</v>
      </c>
      <c r="M36" s="11">
        <v>1</v>
      </c>
      <c r="N36" s="26">
        <f t="shared" si="5"/>
        <v>0.17881450315555014</v>
      </c>
    </row>
    <row r="37" spans="1:14">
      <c r="A37" t="s">
        <v>1147</v>
      </c>
      <c r="B37" t="s">
        <v>1148</v>
      </c>
      <c r="C37" s="28">
        <v>6.45</v>
      </c>
      <c r="D37" t="s">
        <v>213</v>
      </c>
      <c r="E37" s="11">
        <f t="shared" si="4"/>
        <v>6.45</v>
      </c>
      <c r="G37" s="28">
        <v>5.79</v>
      </c>
      <c r="H37" s="28">
        <v>6.66</v>
      </c>
      <c r="I37" s="11">
        <f t="shared" si="7"/>
        <v>5.79</v>
      </c>
      <c r="J37" s="11">
        <f t="shared" si="8"/>
        <v>6.66</v>
      </c>
      <c r="K37" s="26">
        <f t="shared" si="9"/>
        <v>1.1139896373056994</v>
      </c>
      <c r="L37" s="26">
        <f t="shared" si="23"/>
        <v>0.96846846846846846</v>
      </c>
      <c r="M37" s="11">
        <v>1</v>
      </c>
      <c r="N37" s="26">
        <f t="shared" si="5"/>
        <v>0.15025906735751304</v>
      </c>
    </row>
    <row r="38" spans="1:14">
      <c r="A38" t="s">
        <v>1232</v>
      </c>
      <c r="B38" t="s">
        <v>1233</v>
      </c>
      <c r="C38" s="28">
        <v>57.41</v>
      </c>
      <c r="D38" t="s">
        <v>197</v>
      </c>
      <c r="E38" s="11">
        <f t="shared" si="4"/>
        <v>55.969010657802094</v>
      </c>
      <c r="G38" s="28">
        <v>54.14</v>
      </c>
      <c r="H38" s="28">
        <v>90.52</v>
      </c>
      <c r="I38" s="11">
        <f t="shared" si="7"/>
        <v>52.78108756337582</v>
      </c>
      <c r="J38" s="11">
        <f t="shared" si="8"/>
        <v>88.247950613904294</v>
      </c>
      <c r="K38" s="26">
        <f t="shared" si="9"/>
        <v>1.0603989656446249</v>
      </c>
      <c r="L38" s="26">
        <f t="shared" si="23"/>
        <v>0.63422448077772864</v>
      </c>
      <c r="M38" s="11">
        <v>1</v>
      </c>
      <c r="N38" s="26">
        <f t="shared" si="5"/>
        <v>0.67196158108607285</v>
      </c>
    </row>
    <row r="39" spans="1:14">
      <c r="A39" t="s">
        <v>1235</v>
      </c>
      <c r="B39" t="s">
        <v>1236</v>
      </c>
      <c r="C39" s="28">
        <v>11.98</v>
      </c>
      <c r="D39" t="s">
        <v>197</v>
      </c>
      <c r="E39" s="11">
        <f t="shared" si="4"/>
        <v>11.679302345940936</v>
      </c>
      <c r="G39" s="28">
        <v>11.32</v>
      </c>
      <c r="H39" s="28">
        <v>18.760000000000002</v>
      </c>
      <c r="I39" s="11">
        <f t="shared" si="7"/>
        <v>11.03586832688242</v>
      </c>
      <c r="J39" s="11">
        <f t="shared" si="8"/>
        <v>18.289124541723872</v>
      </c>
      <c r="K39" s="26">
        <f t="shared" si="9"/>
        <v>1.058303886925795</v>
      </c>
      <c r="L39" s="26">
        <f t="shared" si="23"/>
        <v>0.63859275053304898</v>
      </c>
      <c r="M39" s="11">
        <v>1</v>
      </c>
      <c r="N39" s="26">
        <f t="shared" si="5"/>
        <v>0.65724381625441719</v>
      </c>
    </row>
    <row r="40" spans="1:14">
      <c r="A40" t="s">
        <v>1162</v>
      </c>
      <c r="B40" t="s">
        <v>1075</v>
      </c>
      <c r="C40" s="28">
        <v>292.97000000000003</v>
      </c>
      <c r="D40" t="s">
        <v>213</v>
      </c>
      <c r="E40" s="11">
        <f t="shared" si="4"/>
        <v>29297.000000000004</v>
      </c>
      <c r="G40" s="28">
        <v>287.3</v>
      </c>
      <c r="H40" s="28">
        <v>341.74</v>
      </c>
      <c r="I40" s="11">
        <f t="shared" ref="I40:I50" si="27">M40*((D40="USD")*G40/$D$7+(D40="EUR")*G40)</f>
        <v>28730</v>
      </c>
      <c r="J40" s="11">
        <f t="shared" ref="J40:J42" si="28">M40*((D40="USD")*H40/$D$7+(D40="EUR")*H40)</f>
        <v>34174</v>
      </c>
      <c r="K40" s="26">
        <f t="shared" si="9"/>
        <v>1.0197354681517579</v>
      </c>
      <c r="L40" s="26">
        <f t="shared" si="23"/>
        <v>0.85728916720313697</v>
      </c>
      <c r="M40" s="11">
        <v>100</v>
      </c>
      <c r="N40" s="26">
        <f t="shared" si="5"/>
        <v>0.18948833971458412</v>
      </c>
    </row>
    <row r="41" spans="1:14">
      <c r="A41" t="s">
        <v>1154</v>
      </c>
      <c r="B41" t="s">
        <v>1155</v>
      </c>
      <c r="C41" s="28">
        <v>105.98</v>
      </c>
      <c r="D41" t="s">
        <v>213</v>
      </c>
      <c r="E41" s="11">
        <f t="shared" si="4"/>
        <v>105.98</v>
      </c>
      <c r="G41" s="28">
        <v>104.5</v>
      </c>
      <c r="H41" s="28">
        <v>132.22999999999999</v>
      </c>
      <c r="I41" s="11">
        <f t="shared" si="27"/>
        <v>104.5</v>
      </c>
      <c r="J41" s="11">
        <f t="shared" si="28"/>
        <v>132.22999999999999</v>
      </c>
      <c r="K41" s="26">
        <f t="shared" si="9"/>
        <v>1.0141626794258374</v>
      </c>
      <c r="L41" s="26">
        <f t="shared" si="23"/>
        <v>0.80148226574907366</v>
      </c>
      <c r="M41" s="11">
        <v>1</v>
      </c>
      <c r="N41" s="26">
        <f t="shared" si="5"/>
        <v>0.26535885167464102</v>
      </c>
    </row>
    <row r="42" spans="1:14">
      <c r="A42" t="s">
        <v>1090</v>
      </c>
      <c r="B42" t="s">
        <v>1092</v>
      </c>
      <c r="C42" s="28">
        <v>54.51</v>
      </c>
      <c r="D42" t="s">
        <v>197</v>
      </c>
      <c r="E42" s="11">
        <f t="shared" si="4"/>
        <v>53.141800574060134</v>
      </c>
      <c r="G42" s="28">
        <v>54.51</v>
      </c>
      <c r="H42" s="28">
        <v>65.78</v>
      </c>
      <c r="I42" s="11">
        <f t="shared" si="27"/>
        <v>53.141800574060134</v>
      </c>
      <c r="J42" s="11">
        <f t="shared" si="28"/>
        <v>64.12892389949873</v>
      </c>
      <c r="K42" s="26">
        <f t="shared" si="9"/>
        <v>1</v>
      </c>
      <c r="L42" s="26">
        <f t="shared" si="23"/>
        <v>0.82867132867132864</v>
      </c>
      <c r="M42" s="11">
        <v>1</v>
      </c>
      <c r="N42" s="26">
        <f t="shared" si="5"/>
        <v>0.20675105485232081</v>
      </c>
    </row>
    <row r="43" spans="1:14">
      <c r="A43" t="s">
        <v>1091</v>
      </c>
      <c r="B43" t="s">
        <v>1093</v>
      </c>
      <c r="C43" s="28">
        <v>57.3</v>
      </c>
      <c r="D43" t="s">
        <v>197</v>
      </c>
      <c r="E43" s="11">
        <f t="shared" si="4"/>
        <v>55.861771654625677</v>
      </c>
      <c r="G43" s="28">
        <v>51.22</v>
      </c>
      <c r="H43" s="28">
        <v>78.400000000000006</v>
      </c>
      <c r="I43" s="11">
        <f t="shared" si="27"/>
        <v>49.934379479056325</v>
      </c>
      <c r="J43" s="11">
        <f>M43*((D43="USD")*H43/$D$7+(D43="EUR")*H43)</f>
        <v>76.432162263920659</v>
      </c>
      <c r="K43" s="26">
        <f t="shared" si="9"/>
        <v>1.1187036313939867</v>
      </c>
      <c r="L43" s="26">
        <f>E43/J43</f>
        <v>0.73086734693877542</v>
      </c>
      <c r="M43" s="11">
        <v>1</v>
      </c>
      <c r="N43" s="26">
        <f t="shared" si="5"/>
        <v>0.53065208902772376</v>
      </c>
    </row>
    <row r="44" spans="1:14">
      <c r="A44" s="17" t="s">
        <v>1094</v>
      </c>
      <c r="B44" t="s">
        <v>1095</v>
      </c>
      <c r="C44" s="28">
        <v>24.8</v>
      </c>
      <c r="D44" t="s">
        <v>213</v>
      </c>
      <c r="E44" s="11">
        <f t="shared" si="4"/>
        <v>24.8</v>
      </c>
      <c r="G44" s="28">
        <v>24.12</v>
      </c>
      <c r="H44" s="28">
        <v>35.4</v>
      </c>
      <c r="I44" s="11">
        <f t="shared" si="27"/>
        <v>24.12</v>
      </c>
      <c r="J44" s="11">
        <f t="shared" ref="J44:J50" si="29">M44*((D44="USD")*H44/$D$7+(D44="EUR")*H44)</f>
        <v>35.4</v>
      </c>
      <c r="K44" s="26">
        <f t="shared" si="9"/>
        <v>1.0281923714759535</v>
      </c>
      <c r="L44" s="26">
        <f t="shared" ref="L44:L50" si="30">E44/J44</f>
        <v>0.70056497175141252</v>
      </c>
      <c r="M44" s="11">
        <v>1</v>
      </c>
      <c r="N44" s="26">
        <f t="shared" si="5"/>
        <v>0.46766169154228843</v>
      </c>
    </row>
    <row r="45" spans="1:14">
      <c r="A45" t="s">
        <v>1097</v>
      </c>
      <c r="B45" t="s">
        <v>1098</v>
      </c>
      <c r="C45" s="28">
        <v>160.03</v>
      </c>
      <c r="D45" t="s">
        <v>197</v>
      </c>
      <c r="E45" s="11">
        <f t="shared" si="4"/>
        <v>156.01325162111252</v>
      </c>
      <c r="G45" s="28">
        <v>135.94</v>
      </c>
      <c r="H45" s="28">
        <v>181.13</v>
      </c>
      <c r="I45" s="11">
        <f t="shared" si="27"/>
        <v>132.52790992547671</v>
      </c>
      <c r="J45" s="11">
        <f t="shared" si="29"/>
        <v>176.58364223040749</v>
      </c>
      <c r="K45" s="26">
        <f t="shared" si="9"/>
        <v>1.1772105340591437</v>
      </c>
      <c r="L45" s="26">
        <f t="shared" si="30"/>
        <v>0.88350908187489641</v>
      </c>
      <c r="M45" s="11">
        <v>1</v>
      </c>
      <c r="N45" s="26">
        <f t="shared" si="5"/>
        <v>0.33242607032514337</v>
      </c>
    </row>
    <row r="46" spans="1:14">
      <c r="A46" t="s">
        <v>1168</v>
      </c>
      <c r="B46" t="s">
        <v>1099</v>
      </c>
      <c r="C46" s="28">
        <v>161.61000000000001</v>
      </c>
      <c r="D46" t="s">
        <v>197</v>
      </c>
      <c r="E46" s="11">
        <f t="shared" si="4"/>
        <v>157.55359366673747</v>
      </c>
      <c r="G46" s="28">
        <v>156.12</v>
      </c>
      <c r="H46" s="28">
        <v>180.4</v>
      </c>
      <c r="I46" s="11">
        <f t="shared" si="27"/>
        <v>152.20139250820526</v>
      </c>
      <c r="J46" s="11">
        <f t="shared" si="29"/>
        <v>175.87196520932761</v>
      </c>
      <c r="K46" s="26">
        <f t="shared" si="9"/>
        <v>1.0351652574942354</v>
      </c>
      <c r="L46" s="26">
        <f t="shared" si="30"/>
        <v>0.8958425720620844</v>
      </c>
      <c r="M46" s="11">
        <v>1</v>
      </c>
      <c r="N46" s="26">
        <f t="shared" si="5"/>
        <v>0.15552139379964114</v>
      </c>
    </row>
    <row r="47" spans="1:14">
      <c r="A47" t="s">
        <v>1156</v>
      </c>
      <c r="B47" t="s">
        <v>1157</v>
      </c>
      <c r="C47" s="28">
        <v>233.19</v>
      </c>
      <c r="D47" t="s">
        <v>197</v>
      </c>
      <c r="E47" s="11">
        <f t="shared" si="4"/>
        <v>227.33693773372011</v>
      </c>
      <c r="G47" s="28">
        <v>229</v>
      </c>
      <c r="H47" s="28">
        <v>266.82</v>
      </c>
      <c r="I47" s="11">
        <f t="shared" si="27"/>
        <v>223.2521066127274</v>
      </c>
      <c r="J47" s="11">
        <f t="shared" si="29"/>
        <v>260.12282570483808</v>
      </c>
      <c r="K47" s="26">
        <f t="shared" si="9"/>
        <v>1.018296943231441</v>
      </c>
      <c r="L47" s="26">
        <f t="shared" si="30"/>
        <v>0.8739599730155162</v>
      </c>
      <c r="M47" s="11">
        <v>1</v>
      </c>
      <c r="N47" s="26">
        <f t="shared" si="5"/>
        <v>0.16515283842794748</v>
      </c>
    </row>
    <row r="48" spans="1:14">
      <c r="A48" t="s">
        <v>1238</v>
      </c>
      <c r="B48" t="s">
        <v>1239</v>
      </c>
      <c r="C48" s="28">
        <v>31</v>
      </c>
      <c r="D48" t="s">
        <v>213</v>
      </c>
      <c r="E48" s="11">
        <f t="shared" si="4"/>
        <v>31</v>
      </c>
      <c r="G48" s="28">
        <v>30.074999999999999</v>
      </c>
      <c r="H48" s="28">
        <v>42.045000000000002</v>
      </c>
      <c r="I48" s="11">
        <f t="shared" si="27"/>
        <v>30.074999999999999</v>
      </c>
      <c r="J48" s="11">
        <f t="shared" si="29"/>
        <v>42.045000000000002</v>
      </c>
      <c r="K48" s="26">
        <f t="shared" si="9"/>
        <v>1.030756442227764</v>
      </c>
      <c r="L48" s="26">
        <f t="shared" si="30"/>
        <v>0.73730526816506126</v>
      </c>
      <c r="M48" s="11">
        <v>1</v>
      </c>
      <c r="N48" s="26">
        <f t="shared" si="5"/>
        <v>0.39800498753117219</v>
      </c>
    </row>
    <row r="49" spans="1:14">
      <c r="A49" t="s">
        <v>1100</v>
      </c>
      <c r="B49" t="s">
        <v>1101</v>
      </c>
      <c r="C49" s="28">
        <v>69.75</v>
      </c>
      <c r="D49" t="s">
        <v>197</v>
      </c>
      <c r="E49" s="11">
        <f t="shared" si="4"/>
        <v>67.999277014138585</v>
      </c>
      <c r="G49" s="28">
        <v>68.56</v>
      </c>
      <c r="H49" s="28">
        <v>96.34</v>
      </c>
      <c r="I49" s="11">
        <f t="shared" si="27"/>
        <v>66.839145979775509</v>
      </c>
      <c r="J49" s="11">
        <f t="shared" si="29"/>
        <v>93.921868781965756</v>
      </c>
      <c r="K49" s="26">
        <f t="shared" si="9"/>
        <v>1.0173570595099182</v>
      </c>
      <c r="L49" s="26">
        <f t="shared" si="30"/>
        <v>0.72399833921527923</v>
      </c>
      <c r="M49" s="11">
        <v>1</v>
      </c>
      <c r="N49" s="26">
        <f t="shared" si="5"/>
        <v>0.40519253208868133</v>
      </c>
    </row>
    <row r="50" spans="1:14">
      <c r="A50" t="s">
        <v>1160</v>
      </c>
      <c r="B50" t="s">
        <v>1161</v>
      </c>
      <c r="C50" s="28">
        <v>301.08</v>
      </c>
      <c r="D50" t="s">
        <v>197</v>
      </c>
      <c r="E50" s="11">
        <f t="shared" si="4"/>
        <v>293.52290069414835</v>
      </c>
      <c r="G50" s="28">
        <v>279.79000000000002</v>
      </c>
      <c r="H50" s="28">
        <v>355.85</v>
      </c>
      <c r="I50" s="11">
        <f t="shared" si="27"/>
        <v>272.76727907936686</v>
      </c>
      <c r="J50" s="11">
        <f t="shared" si="29"/>
        <v>346.91817527571641</v>
      </c>
      <c r="K50" s="26">
        <f t="shared" si="9"/>
        <v>1.0760927838736194</v>
      </c>
      <c r="L50" s="26">
        <f t="shared" si="30"/>
        <v>0.84608683434031184</v>
      </c>
      <c r="M50" s="11">
        <v>1</v>
      </c>
      <c r="N50" s="26">
        <f t="shared" si="5"/>
        <v>0.27184674219950677</v>
      </c>
    </row>
    <row r="51" spans="1:14">
      <c r="A51" t="s">
        <v>1096</v>
      </c>
      <c r="B51" t="s">
        <v>1102</v>
      </c>
      <c r="C51" s="28">
        <v>269.04000000000002</v>
      </c>
      <c r="D51" t="s">
        <v>197</v>
      </c>
      <c r="E51" s="11">
        <f t="shared" si="4"/>
        <v>262.28710376894406</v>
      </c>
      <c r="G51" s="28">
        <v>264.32</v>
      </c>
      <c r="H51" s="28">
        <v>319.11</v>
      </c>
      <c r="I51" s="11">
        <f t="shared" ref="I51:I52" si="31">M51*((D51="USD")*G51/$D$7+(D51="EUR")*G51)</f>
        <v>257.68557563264676</v>
      </c>
      <c r="J51" s="11">
        <f t="shared" ref="J51:J52" si="32">M51*((D51="USD")*H51/$D$7+(D51="EUR")*H51)</f>
        <v>311.10034821479235</v>
      </c>
      <c r="K51" s="26">
        <f t="shared" ref="K51:K52" si="33">E51/I51</f>
        <v>1.017857142857143</v>
      </c>
      <c r="L51" s="26">
        <f t="shared" ref="L51:L52" si="34">E51/J51</f>
        <v>0.84309485757262392</v>
      </c>
      <c r="M51" s="11">
        <v>1</v>
      </c>
      <c r="N51" s="26">
        <f t="shared" si="5"/>
        <v>0.20728662227602923</v>
      </c>
    </row>
    <row r="52" spans="1:14">
      <c r="A52" s="17" t="s">
        <v>1229</v>
      </c>
      <c r="B52" t="s">
        <v>1230</v>
      </c>
      <c r="C52" s="28">
        <v>30.68</v>
      </c>
      <c r="D52" t="s">
        <v>213</v>
      </c>
      <c r="E52" s="11">
        <f t="shared" si="4"/>
        <v>30.68</v>
      </c>
      <c r="G52" s="28">
        <v>28.79</v>
      </c>
      <c r="H52" s="28">
        <v>44.17</v>
      </c>
      <c r="I52" s="11">
        <f t="shared" si="31"/>
        <v>28.79</v>
      </c>
      <c r="J52" s="11">
        <f t="shared" si="32"/>
        <v>44.17</v>
      </c>
      <c r="K52" s="26">
        <f t="shared" si="33"/>
        <v>1.0656477943730462</v>
      </c>
      <c r="L52" s="26">
        <f t="shared" si="34"/>
        <v>0.694589087616029</v>
      </c>
      <c r="M52" s="11">
        <v>1</v>
      </c>
      <c r="N52" s="26">
        <f t="shared" si="5"/>
        <v>0.5342132684960057</v>
      </c>
    </row>
    <row r="53" spans="1:14" s="7" customFormat="1">
      <c r="A53" s="7" t="s">
        <v>1165</v>
      </c>
      <c r="B53" s="7" t="s">
        <v>23</v>
      </c>
      <c r="C53" s="28"/>
      <c r="G53" s="24"/>
      <c r="H53" s="24"/>
    </row>
    <row r="54" spans="1:14">
      <c r="C54" s="11"/>
      <c r="E54" s="11"/>
      <c r="G54" s="11"/>
      <c r="H54" s="11"/>
      <c r="I54" s="11"/>
      <c r="J54" s="11"/>
      <c r="L54" s="26"/>
      <c r="M54" s="11"/>
    </row>
    <row r="55" spans="1:14">
      <c r="C55" s="11"/>
      <c r="E55" s="11"/>
      <c r="G55" s="11"/>
      <c r="H55" s="11"/>
      <c r="I55" s="11"/>
      <c r="J55" s="11"/>
      <c r="L55" s="26"/>
      <c r="M55" s="11"/>
    </row>
  </sheetData>
  <autoFilter ref="A9:N53" xr:uid="{00000000-0009-0000-0000-000000000000}"/>
  <conditionalFormatting sqref="K22 K33 K37:K52">
    <cfRule type="cellIs" dxfId="51" priority="55" operator="lessThan">
      <formula>1.05</formula>
    </cfRule>
  </conditionalFormatting>
  <conditionalFormatting sqref="L22 L33 L54:L55 L37:L52">
    <cfRule type="cellIs" dxfId="50" priority="54" operator="greaterThan">
      <formula>0.95</formula>
    </cfRule>
  </conditionalFormatting>
  <conditionalFormatting sqref="K10">
    <cfRule type="cellIs" dxfId="49" priority="53" operator="lessThan">
      <formula>1.05</formula>
    </cfRule>
  </conditionalFormatting>
  <conditionalFormatting sqref="L10">
    <cfRule type="cellIs" dxfId="48" priority="52" operator="greaterThan">
      <formula>0.95</formula>
    </cfRule>
  </conditionalFormatting>
  <conditionalFormatting sqref="K11">
    <cfRule type="cellIs" dxfId="47" priority="51" operator="lessThan">
      <formula>1.05</formula>
    </cfRule>
  </conditionalFormatting>
  <conditionalFormatting sqref="L11">
    <cfRule type="cellIs" dxfId="46" priority="50" operator="greaterThan">
      <formula>0.95</formula>
    </cfRule>
  </conditionalFormatting>
  <conditionalFormatting sqref="K12">
    <cfRule type="cellIs" dxfId="45" priority="49" operator="lessThan">
      <formula>1.05</formula>
    </cfRule>
  </conditionalFormatting>
  <conditionalFormatting sqref="L12">
    <cfRule type="cellIs" dxfId="44" priority="48" operator="greaterThan">
      <formula>0.95</formula>
    </cfRule>
  </conditionalFormatting>
  <conditionalFormatting sqref="K13">
    <cfRule type="cellIs" dxfId="43" priority="47" operator="lessThan">
      <formula>1.05</formula>
    </cfRule>
  </conditionalFormatting>
  <conditionalFormatting sqref="L13">
    <cfRule type="cellIs" dxfId="42" priority="46" operator="greaterThan">
      <formula>0.95</formula>
    </cfRule>
  </conditionalFormatting>
  <conditionalFormatting sqref="K14">
    <cfRule type="cellIs" dxfId="41" priority="45" operator="lessThan">
      <formula>1.05</formula>
    </cfRule>
  </conditionalFormatting>
  <conditionalFormatting sqref="L14">
    <cfRule type="cellIs" dxfId="40" priority="44" operator="greaterThan">
      <formula>0.95</formula>
    </cfRule>
  </conditionalFormatting>
  <conditionalFormatting sqref="K15">
    <cfRule type="cellIs" dxfId="39" priority="43" operator="lessThan">
      <formula>1.05</formula>
    </cfRule>
  </conditionalFormatting>
  <conditionalFormatting sqref="L15">
    <cfRule type="cellIs" dxfId="38" priority="42" operator="greaterThan">
      <formula>0.95</formula>
    </cfRule>
  </conditionalFormatting>
  <conditionalFormatting sqref="K16">
    <cfRule type="cellIs" dxfId="37" priority="41" operator="lessThan">
      <formula>1.05</formula>
    </cfRule>
  </conditionalFormatting>
  <conditionalFormatting sqref="L16">
    <cfRule type="cellIs" dxfId="36" priority="40" operator="greaterThan">
      <formula>0.95</formula>
    </cfRule>
  </conditionalFormatting>
  <conditionalFormatting sqref="K17">
    <cfRule type="cellIs" dxfId="35" priority="39" operator="lessThan">
      <formula>1.05</formula>
    </cfRule>
  </conditionalFormatting>
  <conditionalFormatting sqref="L17">
    <cfRule type="cellIs" dxfId="34" priority="38" operator="greaterThan">
      <formula>0.95</formula>
    </cfRule>
  </conditionalFormatting>
  <conditionalFormatting sqref="K18">
    <cfRule type="cellIs" dxfId="33" priority="37" operator="lessThan">
      <formula>1.05</formula>
    </cfRule>
  </conditionalFormatting>
  <conditionalFormatting sqref="L18">
    <cfRule type="cellIs" dxfId="32" priority="36" operator="greaterThan">
      <formula>0.95</formula>
    </cfRule>
  </conditionalFormatting>
  <conditionalFormatting sqref="K19">
    <cfRule type="cellIs" dxfId="31" priority="35" operator="lessThan">
      <formula>1.05</formula>
    </cfRule>
  </conditionalFormatting>
  <conditionalFormatting sqref="L19">
    <cfRule type="cellIs" dxfId="30" priority="34" operator="greaterThan">
      <formula>0.95</formula>
    </cfRule>
  </conditionalFormatting>
  <conditionalFormatting sqref="K20">
    <cfRule type="cellIs" dxfId="29" priority="33" operator="lessThan">
      <formula>1.05</formula>
    </cfRule>
  </conditionalFormatting>
  <conditionalFormatting sqref="L20">
    <cfRule type="cellIs" dxfId="28" priority="32" operator="greaterThan">
      <formula>0.95</formula>
    </cfRule>
  </conditionalFormatting>
  <conditionalFormatting sqref="K21">
    <cfRule type="cellIs" dxfId="27" priority="31" operator="lessThan">
      <formula>1.05</formula>
    </cfRule>
  </conditionalFormatting>
  <conditionalFormatting sqref="L21">
    <cfRule type="cellIs" dxfId="26" priority="30" operator="greaterThan">
      <formula>0.95</formula>
    </cfRule>
  </conditionalFormatting>
  <conditionalFormatting sqref="K23">
    <cfRule type="cellIs" dxfId="25" priority="29" operator="lessThan">
      <formula>1.05</formula>
    </cfRule>
  </conditionalFormatting>
  <conditionalFormatting sqref="L23">
    <cfRule type="cellIs" dxfId="24" priority="28" operator="greaterThan">
      <formula>0.95</formula>
    </cfRule>
  </conditionalFormatting>
  <conditionalFormatting sqref="K24">
    <cfRule type="cellIs" dxfId="23" priority="27" operator="lessThan">
      <formula>1.05</formula>
    </cfRule>
  </conditionalFormatting>
  <conditionalFormatting sqref="L24">
    <cfRule type="cellIs" dxfId="22" priority="26" operator="greaterThan">
      <formula>0.95</formula>
    </cfRule>
  </conditionalFormatting>
  <conditionalFormatting sqref="K25">
    <cfRule type="cellIs" dxfId="21" priority="25" operator="lessThan">
      <formula>1.05</formula>
    </cfRule>
  </conditionalFormatting>
  <conditionalFormatting sqref="L25">
    <cfRule type="cellIs" dxfId="20" priority="24" operator="greaterThan">
      <formula>0.95</formula>
    </cfRule>
  </conditionalFormatting>
  <conditionalFormatting sqref="K26">
    <cfRule type="cellIs" dxfId="19" priority="23" operator="lessThan">
      <formula>1.05</formula>
    </cfRule>
  </conditionalFormatting>
  <conditionalFormatting sqref="L26">
    <cfRule type="cellIs" dxfId="18" priority="22" operator="greaterThan">
      <formula>0.95</formula>
    </cfRule>
  </conditionalFormatting>
  <conditionalFormatting sqref="K27">
    <cfRule type="cellIs" dxfId="17" priority="21" operator="lessThan">
      <formula>1.05</formula>
    </cfRule>
  </conditionalFormatting>
  <conditionalFormatting sqref="L27">
    <cfRule type="cellIs" dxfId="16" priority="20" operator="greaterThan">
      <formula>0.95</formula>
    </cfRule>
  </conditionalFormatting>
  <conditionalFormatting sqref="K28">
    <cfRule type="cellIs" dxfId="15" priority="19" operator="lessThan">
      <formula>1.05</formula>
    </cfRule>
  </conditionalFormatting>
  <conditionalFormatting sqref="L28">
    <cfRule type="cellIs" dxfId="14" priority="18" operator="greaterThan">
      <formula>0.95</formula>
    </cfRule>
  </conditionalFormatting>
  <conditionalFormatting sqref="K29">
    <cfRule type="cellIs" dxfId="13" priority="17" operator="lessThan">
      <formula>1.05</formula>
    </cfRule>
  </conditionalFormatting>
  <conditionalFormatting sqref="L29">
    <cfRule type="cellIs" dxfId="12" priority="16" operator="greaterThan">
      <formula>0.95</formula>
    </cfRule>
  </conditionalFormatting>
  <conditionalFormatting sqref="K30">
    <cfRule type="cellIs" dxfId="11" priority="15" operator="lessThan">
      <formula>1.05</formula>
    </cfRule>
  </conditionalFormatting>
  <conditionalFormatting sqref="L30">
    <cfRule type="cellIs" dxfId="10" priority="14" operator="greaterThan">
      <formula>0.95</formula>
    </cfRule>
  </conditionalFormatting>
  <conditionalFormatting sqref="K31">
    <cfRule type="cellIs" dxfId="9" priority="13" operator="lessThan">
      <formula>1.05</formula>
    </cfRule>
  </conditionalFormatting>
  <conditionalFormatting sqref="L31">
    <cfRule type="cellIs" dxfId="8" priority="12" operator="greaterThan">
      <formula>0.95</formula>
    </cfRule>
  </conditionalFormatting>
  <conditionalFormatting sqref="K32">
    <cfRule type="cellIs" dxfId="7" priority="11" operator="lessThan">
      <formula>1.05</formula>
    </cfRule>
  </conditionalFormatting>
  <conditionalFormatting sqref="L32">
    <cfRule type="cellIs" dxfId="6" priority="10" operator="greaterThan">
      <formula>0.95</formula>
    </cfRule>
  </conditionalFormatting>
  <conditionalFormatting sqref="K34">
    <cfRule type="cellIs" dxfId="5" priority="9" operator="lessThan">
      <formula>1.05</formula>
    </cfRule>
  </conditionalFormatting>
  <conditionalFormatting sqref="L34">
    <cfRule type="cellIs" dxfId="4" priority="8" operator="greaterThan">
      <formula>0.95</formula>
    </cfRule>
  </conditionalFormatting>
  <conditionalFormatting sqref="K35">
    <cfRule type="cellIs" dxfId="3" priority="7" operator="lessThan">
      <formula>1.05</formula>
    </cfRule>
  </conditionalFormatting>
  <conditionalFormatting sqref="L35">
    <cfRule type="cellIs" dxfId="2" priority="6" operator="greaterThan">
      <formula>0.95</formula>
    </cfRule>
  </conditionalFormatting>
  <conditionalFormatting sqref="K36">
    <cfRule type="cellIs" dxfId="1" priority="5" operator="lessThan">
      <formula>1.05</formula>
    </cfRule>
  </conditionalFormatting>
  <conditionalFormatting sqref="L36">
    <cfRule type="cellIs" dxfId="0" priority="4" operator="greaterThan">
      <formula>0.95</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_Routine_All">
                <anchor moveWithCells="1" sizeWithCells="1">
                  <from>
                    <xdr:col>6</xdr:col>
                    <xdr:colOff>251460</xdr:colOff>
                    <xdr:row>4</xdr:row>
                    <xdr:rowOff>99060</xdr:rowOff>
                  </from>
                  <to>
                    <xdr:col>7</xdr:col>
                    <xdr:colOff>822960</xdr:colOff>
                    <xdr:row>6</xdr:row>
                    <xdr:rowOff>76200</xdr:rowOff>
                  </to>
                </anchor>
              </controlPr>
            </control>
          </mc:Choice>
        </mc:AlternateContent>
        <mc:AlternateContent xmlns:mc="http://schemas.openxmlformats.org/markup-compatibility/2006">
          <mc:Choice Requires="x14">
            <control shapeId="1039" r:id="rId5" name="Button 15">
              <controlPr defaultSize="0" print="0" autoFill="0" autoPict="0" macro="[0]!Clear_Fields_Prices">
                <anchor moveWithCells="1" sizeWithCells="1">
                  <from>
                    <xdr:col>6</xdr:col>
                    <xdr:colOff>259080</xdr:colOff>
                    <xdr:row>2</xdr:row>
                    <xdr:rowOff>99060</xdr:rowOff>
                  </from>
                  <to>
                    <xdr:col>7</xdr:col>
                    <xdr:colOff>815340</xdr:colOff>
                    <xdr:row>4</xdr:row>
                    <xdr:rowOff>45720</xdr:rowOff>
                  </to>
                </anchor>
              </controlPr>
            </control>
          </mc:Choice>
        </mc:AlternateContent>
        <mc:AlternateContent xmlns:mc="http://schemas.openxmlformats.org/markup-compatibility/2006">
          <mc:Choice Requires="x14">
            <control shapeId="1040" r:id="rId6" name="Button 16">
              <controlPr defaultSize="0" print="0" autoFill="0" autoPict="0" macro="[0]!Main_ReadTickerFromSql">
                <anchor moveWithCells="1" sizeWithCells="1">
                  <from>
                    <xdr:col>6</xdr:col>
                    <xdr:colOff>259080</xdr:colOff>
                    <xdr:row>0</xdr:row>
                    <xdr:rowOff>129540</xdr:rowOff>
                  </from>
                  <to>
                    <xdr:col>7</xdr:col>
                    <xdr:colOff>815340</xdr:colOff>
                    <xdr:row>2</xdr:row>
                    <xdr:rowOff>60960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API!$B$130:$E$130</xm:f>
          </x14:formula1>
          <xm:sqref>A7:B7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266"/>
  <sheetViews>
    <sheetView zoomScale="110" zoomScaleNormal="110" workbookViewId="0">
      <selection activeCell="F8" sqref="F8"/>
    </sheetView>
  </sheetViews>
  <sheetFormatPr baseColWidth="10" defaultRowHeight="14.4"/>
  <cols>
    <col min="1" max="1" width="53.6640625" customWidth="1"/>
  </cols>
  <sheetData>
    <row r="1" spans="1:1">
      <c r="A1" s="5" t="s">
        <v>226</v>
      </c>
    </row>
    <row r="2" spans="1:1">
      <c r="A2" s="3" t="s">
        <v>35</v>
      </c>
    </row>
    <row r="3" spans="1:1">
      <c r="A3" s="8" t="s">
        <v>36</v>
      </c>
    </row>
    <row r="4" spans="1:1">
      <c r="A4" s="8" t="s">
        <v>37</v>
      </c>
    </row>
    <row r="5" spans="1:1">
      <c r="A5" s="9" t="s">
        <v>38</v>
      </c>
    </row>
    <row r="6" spans="1:1">
      <c r="A6" s="8" t="s">
        <v>39</v>
      </c>
    </row>
    <row r="7" spans="1:1">
      <c r="A7" s="8" t="s">
        <v>40</v>
      </c>
    </row>
    <row r="8" spans="1:1">
      <c r="A8" s="8" t="s">
        <v>41</v>
      </c>
    </row>
    <row r="9" spans="1:1">
      <c r="A9" s="9" t="s">
        <v>42</v>
      </c>
    </row>
    <row r="10" spans="1:1">
      <c r="A10" s="8" t="s">
        <v>43</v>
      </c>
    </row>
    <row r="11" spans="1:1">
      <c r="A11" s="9" t="s">
        <v>44</v>
      </c>
    </row>
    <row r="12" spans="1:1">
      <c r="A12" s="8" t="s">
        <v>45</v>
      </c>
    </row>
    <row r="13" spans="1:1">
      <c r="A13" s="8" t="s">
        <v>46</v>
      </c>
    </row>
    <row r="14" spans="1:1">
      <c r="A14" s="8" t="s">
        <v>47</v>
      </c>
    </row>
    <row r="15" spans="1:1">
      <c r="A15" s="8" t="s">
        <v>48</v>
      </c>
    </row>
    <row r="16" spans="1:1">
      <c r="A16" s="8" t="s">
        <v>49</v>
      </c>
    </row>
    <row r="19" spans="1:1">
      <c r="A19" s="5" t="s">
        <v>226</v>
      </c>
    </row>
    <row r="20" spans="1:1">
      <c r="A20" t="s">
        <v>210</v>
      </c>
    </row>
    <row r="21" spans="1:1">
      <c r="A21" s="3" t="s">
        <v>50</v>
      </c>
    </row>
    <row r="22" spans="1:1">
      <c r="A22" s="8" t="s">
        <v>36</v>
      </c>
    </row>
    <row r="23" spans="1:1">
      <c r="A23" s="8" t="s">
        <v>51</v>
      </c>
    </row>
    <row r="24" spans="1:1">
      <c r="A24" s="8" t="s">
        <v>52</v>
      </c>
    </row>
    <row r="25" spans="1:1">
      <c r="A25" s="9" t="s">
        <v>53</v>
      </c>
    </row>
    <row r="26" spans="1:1">
      <c r="A26" s="8" t="s">
        <v>54</v>
      </c>
    </row>
    <row r="27" spans="1:1">
      <c r="A27" s="8" t="s">
        <v>55</v>
      </c>
    </row>
    <row r="28" spans="1:1">
      <c r="A28" s="8" t="s">
        <v>56</v>
      </c>
    </row>
    <row r="29" spans="1:1">
      <c r="A29" s="8" t="s">
        <v>57</v>
      </c>
    </row>
    <row r="30" spans="1:1">
      <c r="A30" s="8" t="s">
        <v>58</v>
      </c>
    </row>
    <row r="31" spans="1:1">
      <c r="A31" s="9" t="s">
        <v>59</v>
      </c>
    </row>
    <row r="32" spans="1:1">
      <c r="A32" s="8" t="s">
        <v>60</v>
      </c>
    </row>
    <row r="33" spans="1:1">
      <c r="A33" s="8" t="s">
        <v>61</v>
      </c>
    </row>
    <row r="34" spans="1:1">
      <c r="A34" s="8" t="s">
        <v>62</v>
      </c>
    </row>
    <row r="35" spans="1:1">
      <c r="A35" s="9" t="s">
        <v>63</v>
      </c>
    </row>
    <row r="36" spans="1:1">
      <c r="A36" s="8" t="s">
        <v>64</v>
      </c>
    </row>
    <row r="37" spans="1:1">
      <c r="A37" s="8" t="s">
        <v>65</v>
      </c>
    </row>
    <row r="38" spans="1:1">
      <c r="A38" s="9" t="s">
        <v>66</v>
      </c>
    </row>
    <row r="39" spans="1:1">
      <c r="A39" s="9" t="s">
        <v>67</v>
      </c>
    </row>
    <row r="40" spans="1:1">
      <c r="A40" s="8" t="s">
        <v>68</v>
      </c>
    </row>
    <row r="41" spans="1:1">
      <c r="A41" s="8" t="s">
        <v>69</v>
      </c>
    </row>
    <row r="42" spans="1:1">
      <c r="A42" s="8" t="s">
        <v>70</v>
      </c>
    </row>
    <row r="43" spans="1:1">
      <c r="A43" s="8" t="s">
        <v>71</v>
      </c>
    </row>
    <row r="44" spans="1:1">
      <c r="A44" s="8" t="s">
        <v>72</v>
      </c>
    </row>
    <row r="45" spans="1:1">
      <c r="A45" s="8" t="s">
        <v>73</v>
      </c>
    </row>
    <row r="46" spans="1:1">
      <c r="A46" s="8" t="s">
        <v>74</v>
      </c>
    </row>
    <row r="47" spans="1:1">
      <c r="A47" s="8" t="s">
        <v>75</v>
      </c>
    </row>
    <row r="48" spans="1:1">
      <c r="A48" s="8" t="s">
        <v>66</v>
      </c>
    </row>
    <row r="49" spans="1:1">
      <c r="A49" s="8" t="s">
        <v>67</v>
      </c>
    </row>
    <row r="50" spans="1:1">
      <c r="A50" s="8" t="s">
        <v>68</v>
      </c>
    </row>
    <row r="51" spans="1:1">
      <c r="A51" s="8" t="s">
        <v>76</v>
      </c>
    </row>
    <row r="60" spans="1:1">
      <c r="A60" s="29" t="s">
        <v>78</v>
      </c>
    </row>
    <row r="61" spans="1:1">
      <c r="A61" s="3" t="s">
        <v>77</v>
      </c>
    </row>
    <row r="62" spans="1:1">
      <c r="A62" s="8" t="s">
        <v>36</v>
      </c>
    </row>
    <row r="63" spans="1:1">
      <c r="A63" s="9" t="s">
        <v>79</v>
      </c>
    </row>
    <row r="64" spans="1:1">
      <c r="A64" s="8" t="s">
        <v>80</v>
      </c>
    </row>
    <row r="65" spans="1:2">
      <c r="A65" s="9" t="s">
        <v>81</v>
      </c>
    </row>
    <row r="66" spans="1:2">
      <c r="A66" s="8" t="s">
        <v>82</v>
      </c>
    </row>
    <row r="67" spans="1:2">
      <c r="A67" s="8" t="s">
        <v>83</v>
      </c>
    </row>
    <row r="68" spans="1:2">
      <c r="A68" s="9" t="s">
        <v>84</v>
      </c>
    </row>
    <row r="69" spans="1:2">
      <c r="A69" s="8" t="s">
        <v>85</v>
      </c>
    </row>
    <row r="70" spans="1:2">
      <c r="A70" s="8" t="s">
        <v>86</v>
      </c>
    </row>
    <row r="71" spans="1:2">
      <c r="A71" s="8" t="s">
        <v>87</v>
      </c>
    </row>
    <row r="72" spans="1:2">
      <c r="A72" s="8" t="s">
        <v>88</v>
      </c>
    </row>
    <row r="73" spans="1:2">
      <c r="A73" s="9" t="s">
        <v>89</v>
      </c>
    </row>
    <row r="74" spans="1:2">
      <c r="A74" s="8" t="s">
        <v>90</v>
      </c>
    </row>
    <row r="75" spans="1:2">
      <c r="A75" s="8" t="s">
        <v>91</v>
      </c>
    </row>
    <row r="76" spans="1:2">
      <c r="A76" s="9" t="s">
        <v>92</v>
      </c>
    </row>
    <row r="77" spans="1:2">
      <c r="A77" s="9" t="s">
        <v>93</v>
      </c>
    </row>
    <row r="78" spans="1:2">
      <c r="A78" s="9" t="s">
        <v>94</v>
      </c>
      <c r="B78" t="s">
        <v>184</v>
      </c>
    </row>
    <row r="79" spans="1:2">
      <c r="A79" s="8" t="s">
        <v>95</v>
      </c>
      <c r="B79" t="s">
        <v>185</v>
      </c>
    </row>
    <row r="80" spans="1:2">
      <c r="A80" s="9" t="s">
        <v>96</v>
      </c>
      <c r="B80" t="s">
        <v>186</v>
      </c>
    </row>
    <row r="81" spans="1:2">
      <c r="A81" s="9" t="s">
        <v>97</v>
      </c>
      <c r="B81" t="s">
        <v>187</v>
      </c>
    </row>
    <row r="82" spans="1:2">
      <c r="A82" s="9" t="s">
        <v>98</v>
      </c>
      <c r="B82" t="s">
        <v>188</v>
      </c>
    </row>
    <row r="83" spans="1:2">
      <c r="A83" s="9" t="s">
        <v>99</v>
      </c>
      <c r="B83" t="s">
        <v>189</v>
      </c>
    </row>
    <row r="84" spans="1:2">
      <c r="A84" s="8" t="s">
        <v>100</v>
      </c>
    </row>
    <row r="85" spans="1:2">
      <c r="A85" s="8" t="s">
        <v>101</v>
      </c>
    </row>
    <row r="86" spans="1:2">
      <c r="A86" s="8" t="s">
        <v>102</v>
      </c>
    </row>
    <row r="87" spans="1:2">
      <c r="A87" s="8" t="s">
        <v>103</v>
      </c>
    </row>
    <row r="88" spans="1:2">
      <c r="A88" s="8" t="s">
        <v>104</v>
      </c>
    </row>
    <row r="89" spans="1:2">
      <c r="A89" s="10" t="s">
        <v>105</v>
      </c>
      <c r="B89" t="s">
        <v>190</v>
      </c>
    </row>
    <row r="90" spans="1:2">
      <c r="A90" s="10" t="s">
        <v>106</v>
      </c>
      <c r="B90" t="s">
        <v>190</v>
      </c>
    </row>
    <row r="91" spans="1:2">
      <c r="A91" s="8" t="s">
        <v>107</v>
      </c>
    </row>
    <row r="92" spans="1:2">
      <c r="A92" s="8" t="s">
        <v>108</v>
      </c>
    </row>
    <row r="93" spans="1:2">
      <c r="A93" s="8" t="s">
        <v>109</v>
      </c>
    </row>
    <row r="94" spans="1:2">
      <c r="A94" s="9" t="s">
        <v>110</v>
      </c>
    </row>
    <row r="95" spans="1:2">
      <c r="A95" s="8" t="s">
        <v>111</v>
      </c>
    </row>
    <row r="96" spans="1:2">
      <c r="A96" s="8" t="s">
        <v>112</v>
      </c>
    </row>
    <row r="97" spans="1:2">
      <c r="A97" s="8" t="s">
        <v>113</v>
      </c>
    </row>
    <row r="98" spans="1:2">
      <c r="A98" s="9" t="s">
        <v>114</v>
      </c>
      <c r="B98" t="s">
        <v>191</v>
      </c>
    </row>
    <row r="99" spans="1:2">
      <c r="A99" s="8" t="s">
        <v>115</v>
      </c>
    </row>
    <row r="100" spans="1:2">
      <c r="A100" s="8" t="s">
        <v>116</v>
      </c>
    </row>
    <row r="101" spans="1:2">
      <c r="A101" s="9" t="s">
        <v>117</v>
      </c>
      <c r="B101" t="s">
        <v>192</v>
      </c>
    </row>
    <row r="102" spans="1:2">
      <c r="A102" s="9" t="s">
        <v>118</v>
      </c>
      <c r="B102" t="s">
        <v>193</v>
      </c>
    </row>
    <row r="103" spans="1:2">
      <c r="A103" s="9" t="s">
        <v>119</v>
      </c>
      <c r="B103" t="s">
        <v>194</v>
      </c>
    </row>
    <row r="104" spans="1:2">
      <c r="A104" s="8" t="s">
        <v>120</v>
      </c>
    </row>
    <row r="105" spans="1:2">
      <c r="A105" s="9" t="s">
        <v>121</v>
      </c>
      <c r="B105" t="s">
        <v>195</v>
      </c>
    </row>
    <row r="106" spans="1:2">
      <c r="A106" s="8" t="s">
        <v>122</v>
      </c>
    </row>
    <row r="107" spans="1:2">
      <c r="A107" s="8" t="s">
        <v>123</v>
      </c>
    </row>
    <row r="108" spans="1:2">
      <c r="A108" s="8" t="s">
        <v>124</v>
      </c>
    </row>
    <row r="109" spans="1:2">
      <c r="A109" s="8" t="s">
        <v>125</v>
      </c>
    </row>
    <row r="110" spans="1:2">
      <c r="A110" s="8" t="s">
        <v>126</v>
      </c>
    </row>
    <row r="111" spans="1:2">
      <c r="A111" s="8" t="s">
        <v>127</v>
      </c>
    </row>
    <row r="112" spans="1:2">
      <c r="A112" s="8" t="s">
        <v>128</v>
      </c>
    </row>
    <row r="113" spans="1:2">
      <c r="A113" s="8" t="s">
        <v>129</v>
      </c>
    </row>
    <row r="114" spans="1:2">
      <c r="A114" s="8" t="s">
        <v>130</v>
      </c>
    </row>
    <row r="115" spans="1:2">
      <c r="A115" s="10" t="s">
        <v>131</v>
      </c>
    </row>
    <row r="116" spans="1:2">
      <c r="A116" s="10" t="s">
        <v>132</v>
      </c>
    </row>
    <row r="117" spans="1:2">
      <c r="A117" s="10" t="s">
        <v>133</v>
      </c>
    </row>
    <row r="118" spans="1:2">
      <c r="A118" s="9" t="s">
        <v>134</v>
      </c>
      <c r="B118" t="s">
        <v>196</v>
      </c>
    </row>
    <row r="119" spans="1:2">
      <c r="A119" s="8" t="s">
        <v>135</v>
      </c>
    </row>
    <row r="120" spans="1:2">
      <c r="A120" s="10" t="s">
        <v>136</v>
      </c>
    </row>
    <row r="121" spans="1:2">
      <c r="A121" s="10" t="s">
        <v>137</v>
      </c>
    </row>
    <row r="122" spans="1:2">
      <c r="A122" s="8" t="s">
        <v>49</v>
      </c>
    </row>
    <row r="130" spans="1:1">
      <c r="A130" s="5" t="s">
        <v>226</v>
      </c>
    </row>
    <row r="131" spans="1:1">
      <c r="A131" s="3" t="s">
        <v>138</v>
      </c>
    </row>
    <row r="132" spans="1:1">
      <c r="A132" s="8" t="s">
        <v>36</v>
      </c>
    </row>
    <row r="133" spans="1:1">
      <c r="A133" s="8" t="s">
        <v>139</v>
      </c>
    </row>
    <row r="134" spans="1:1">
      <c r="A134" s="9" t="s">
        <v>140</v>
      </c>
    </row>
    <row r="135" spans="1:1">
      <c r="A135" s="8" t="s">
        <v>141</v>
      </c>
    </row>
    <row r="136" spans="1:1">
      <c r="A136" s="9" t="s">
        <v>142</v>
      </c>
    </row>
    <row r="137" spans="1:1">
      <c r="A137" s="8" t="s">
        <v>143</v>
      </c>
    </row>
    <row r="138" spans="1:1">
      <c r="A138" s="9" t="s">
        <v>144</v>
      </c>
    </row>
    <row r="139" spans="1:1">
      <c r="A139" s="8" t="s">
        <v>145</v>
      </c>
    </row>
    <row r="140" spans="1:1">
      <c r="A140" s="8" t="s">
        <v>146</v>
      </c>
    </row>
    <row r="141" spans="1:1">
      <c r="A141" s="8" t="s">
        <v>147</v>
      </c>
    </row>
    <row r="142" spans="1:1">
      <c r="A142" s="8" t="s">
        <v>148</v>
      </c>
    </row>
    <row r="143" spans="1:1">
      <c r="A143" s="8" t="s">
        <v>48</v>
      </c>
    </row>
    <row r="144" spans="1:1">
      <c r="A144" s="8" t="s">
        <v>49</v>
      </c>
    </row>
    <row r="150" spans="1:1">
      <c r="A150" s="5" t="s">
        <v>226</v>
      </c>
    </row>
    <row r="151" spans="1:1">
      <c r="A151" s="3" t="s">
        <v>149</v>
      </c>
    </row>
    <row r="152" spans="1:1">
      <c r="A152" s="8" t="s">
        <v>36</v>
      </c>
    </row>
    <row r="153" spans="1:1">
      <c r="A153" s="8" t="s">
        <v>139</v>
      </c>
    </row>
    <row r="154" spans="1:1">
      <c r="A154" s="9" t="s">
        <v>150</v>
      </c>
    </row>
    <row r="155" spans="1:1">
      <c r="A155" s="8" t="s">
        <v>151</v>
      </c>
    </row>
    <row r="156" spans="1:1">
      <c r="A156" s="9" t="s">
        <v>152</v>
      </c>
    </row>
    <row r="157" spans="1:1">
      <c r="A157" s="8" t="s">
        <v>153</v>
      </c>
    </row>
    <row r="158" spans="1:1">
      <c r="A158" s="9" t="s">
        <v>154</v>
      </c>
    </row>
    <row r="159" spans="1:1">
      <c r="A159" s="8" t="s">
        <v>155</v>
      </c>
    </row>
    <row r="160" spans="1:1">
      <c r="A160" s="8" t="s">
        <v>146</v>
      </c>
    </row>
    <row r="161" spans="1:1">
      <c r="A161" s="8" t="s">
        <v>156</v>
      </c>
    </row>
    <row r="162" spans="1:1">
      <c r="A162" s="8" t="s">
        <v>157</v>
      </c>
    </row>
    <row r="163" spans="1:1">
      <c r="A163" s="8" t="s">
        <v>48</v>
      </c>
    </row>
    <row r="164" spans="1:1">
      <c r="A164" s="8" t="s">
        <v>49</v>
      </c>
    </row>
    <row r="170" spans="1:1">
      <c r="A170" t="s">
        <v>1069</v>
      </c>
    </row>
    <row r="171" spans="1:1">
      <c r="A171" s="3" t="s">
        <v>158</v>
      </c>
    </row>
    <row r="172" spans="1:1">
      <c r="A172" s="8" t="s">
        <v>36</v>
      </c>
    </row>
    <row r="173" spans="1:1">
      <c r="A173" s="8" t="s">
        <v>51</v>
      </c>
    </row>
    <row r="174" spans="1:1">
      <c r="A174" s="9" t="s">
        <v>159</v>
      </c>
    </row>
    <row r="175" spans="1:1">
      <c r="A175" s="9" t="s">
        <v>160</v>
      </c>
    </row>
    <row r="176" spans="1:1">
      <c r="A176" s="8" t="s">
        <v>161</v>
      </c>
    </row>
    <row r="177" spans="1:1">
      <c r="A177" s="9" t="s">
        <v>162</v>
      </c>
    </row>
    <row r="178" spans="1:1">
      <c r="A178" s="9" t="s">
        <v>163</v>
      </c>
    </row>
    <row r="179" spans="1:1">
      <c r="A179" s="8" t="s">
        <v>164</v>
      </c>
    </row>
    <row r="180" spans="1:1">
      <c r="A180" s="8" t="s">
        <v>165</v>
      </c>
    </row>
    <row r="181" spans="1:1">
      <c r="A181" s="8" t="s">
        <v>57</v>
      </c>
    </row>
    <row r="182" spans="1:1">
      <c r="A182" s="8" t="s">
        <v>166</v>
      </c>
    </row>
    <row r="183" spans="1:1">
      <c r="A183" s="8" t="s">
        <v>59</v>
      </c>
    </row>
    <row r="184" spans="1:1">
      <c r="A184" s="9" t="s">
        <v>167</v>
      </c>
    </row>
    <row r="185" spans="1:1">
      <c r="A185" s="8" t="s">
        <v>68</v>
      </c>
    </row>
    <row r="186" spans="1:1">
      <c r="A186" s="8" t="s">
        <v>69</v>
      </c>
    </row>
    <row r="187" spans="1:1">
      <c r="A187" s="8" t="s">
        <v>168</v>
      </c>
    </row>
    <row r="188" spans="1:1">
      <c r="A188" s="8" t="s">
        <v>68</v>
      </c>
    </row>
    <row r="189" spans="1:1">
      <c r="A189" s="8" t="s">
        <v>76</v>
      </c>
    </row>
    <row r="190" spans="1:1">
      <c r="A190" s="8" t="s">
        <v>169</v>
      </c>
    </row>
    <row r="191" spans="1:1">
      <c r="A191" s="8" t="s">
        <v>68</v>
      </c>
    </row>
    <row r="192" spans="1:1">
      <c r="A192" s="8" t="s">
        <v>170</v>
      </c>
    </row>
    <row r="193" spans="1:1">
      <c r="A193" s="8" t="s">
        <v>171</v>
      </c>
    </row>
    <row r="194" spans="1:1">
      <c r="A194" s="8" t="s">
        <v>68</v>
      </c>
    </row>
    <row r="195" spans="1:1">
      <c r="A195" s="8" t="s">
        <v>172</v>
      </c>
    </row>
    <row r="196" spans="1:1">
      <c r="A196" s="8" t="s">
        <v>173</v>
      </c>
    </row>
    <row r="197" spans="1:1">
      <c r="A197" s="8" t="s">
        <v>68</v>
      </c>
    </row>
    <row r="201" spans="1:1">
      <c r="A201" s="3" t="s">
        <v>174</v>
      </c>
    </row>
    <row r="202" spans="1:1">
      <c r="A202" s="8" t="s">
        <v>36</v>
      </c>
    </row>
    <row r="203" spans="1:1">
      <c r="A203" s="8" t="s">
        <v>51</v>
      </c>
    </row>
    <row r="204" spans="1:1">
      <c r="A204" s="9" t="s">
        <v>159</v>
      </c>
    </row>
    <row r="205" spans="1:1">
      <c r="A205" s="9" t="s">
        <v>175</v>
      </c>
    </row>
    <row r="206" spans="1:1">
      <c r="A206" s="8" t="s">
        <v>161</v>
      </c>
    </row>
    <row r="207" spans="1:1">
      <c r="A207" s="9" t="s">
        <v>162</v>
      </c>
    </row>
    <row r="208" spans="1:1">
      <c r="A208" s="9" t="s">
        <v>176</v>
      </c>
    </row>
    <row r="209" spans="1:1">
      <c r="A209" s="8" t="s">
        <v>164</v>
      </c>
    </row>
    <row r="210" spans="1:1">
      <c r="A210" s="8" t="s">
        <v>177</v>
      </c>
    </row>
    <row r="211" spans="1:1">
      <c r="A211" s="8" t="s">
        <v>57</v>
      </c>
    </row>
    <row r="212" spans="1:1">
      <c r="A212" s="8" t="s">
        <v>178</v>
      </c>
    </row>
    <row r="213" spans="1:1">
      <c r="A213" s="8" t="s">
        <v>59</v>
      </c>
    </row>
    <row r="214" spans="1:1">
      <c r="A214" s="9" t="s">
        <v>179</v>
      </c>
    </row>
    <row r="215" spans="1:1">
      <c r="A215" s="8" t="s">
        <v>68</v>
      </c>
    </row>
    <row r="216" spans="1:1">
      <c r="A216" s="8" t="s">
        <v>69</v>
      </c>
    </row>
    <row r="217" spans="1:1">
      <c r="A217" s="8" t="s">
        <v>180</v>
      </c>
    </row>
    <row r="218" spans="1:1">
      <c r="A218" s="8" t="s">
        <v>68</v>
      </c>
    </row>
    <row r="219" spans="1:1">
      <c r="A219" s="8" t="s">
        <v>76</v>
      </c>
    </row>
    <row r="220" spans="1:1">
      <c r="A220" s="8" t="s">
        <v>181</v>
      </c>
    </row>
    <row r="221" spans="1:1">
      <c r="A221" s="8" t="s">
        <v>68</v>
      </c>
    </row>
    <row r="222" spans="1:1">
      <c r="A222" s="8" t="s">
        <v>170</v>
      </c>
    </row>
    <row r="223" spans="1:1">
      <c r="A223" s="8" t="s">
        <v>182</v>
      </c>
    </row>
    <row r="224" spans="1:1">
      <c r="A224" s="8" t="s">
        <v>68</v>
      </c>
    </row>
    <row r="225" spans="1:1">
      <c r="A225" s="8" t="s">
        <v>172</v>
      </c>
    </row>
    <row r="226" spans="1:1">
      <c r="A226" s="8" t="s">
        <v>183</v>
      </c>
    </row>
    <row r="227" spans="1:1">
      <c r="A227" s="8" t="s">
        <v>68</v>
      </c>
    </row>
    <row r="231" spans="1:1">
      <c r="A231" s="3" t="s">
        <v>232</v>
      </c>
    </row>
    <row r="232" spans="1:1">
      <c r="A232" s="8" t="s">
        <v>36</v>
      </c>
    </row>
    <row r="233" spans="1:1">
      <c r="A233" s="8" t="s">
        <v>233</v>
      </c>
    </row>
    <row r="234" spans="1:1">
      <c r="A234" s="8" t="s">
        <v>234</v>
      </c>
    </row>
    <row r="235" spans="1:1">
      <c r="A235" s="8" t="s">
        <v>235</v>
      </c>
    </row>
    <row r="236" spans="1:1">
      <c r="A236" s="8" t="s">
        <v>236</v>
      </c>
    </row>
    <row r="237" spans="1:1">
      <c r="A237" s="8" t="s">
        <v>237</v>
      </c>
    </row>
    <row r="238" spans="1:1">
      <c r="A238" s="8" t="s">
        <v>238</v>
      </c>
    </row>
    <row r="239" spans="1:1">
      <c r="A239" s="8" t="s">
        <v>239</v>
      </c>
    </row>
    <row r="240" spans="1:1">
      <c r="A240" s="8" t="s">
        <v>240</v>
      </c>
    </row>
    <row r="241" spans="1:1">
      <c r="A241" s="8" t="s">
        <v>241</v>
      </c>
    </row>
    <row r="242" spans="1:1">
      <c r="A242" s="8" t="s">
        <v>242</v>
      </c>
    </row>
    <row r="243" spans="1:1">
      <c r="A243" s="8" t="s">
        <v>243</v>
      </c>
    </row>
    <row r="244" spans="1:1">
      <c r="A244" s="8" t="s">
        <v>68</v>
      </c>
    </row>
    <row r="245" spans="1:1">
      <c r="A245" s="8" t="s">
        <v>234</v>
      </c>
    </row>
    <row r="246" spans="1:1">
      <c r="A246" s="8" t="s">
        <v>244</v>
      </c>
    </row>
    <row r="247" spans="1:1">
      <c r="A247" s="8" t="s">
        <v>236</v>
      </c>
    </row>
    <row r="248" spans="1:1">
      <c r="A248" s="8" t="s">
        <v>237</v>
      </c>
    </row>
    <row r="249" spans="1:1">
      <c r="A249" s="8" t="s">
        <v>238</v>
      </c>
    </row>
    <row r="250" spans="1:1">
      <c r="A250" s="8" t="s">
        <v>239</v>
      </c>
    </row>
    <row r="251" spans="1:1">
      <c r="A251" s="8" t="s">
        <v>240</v>
      </c>
    </row>
    <row r="252" spans="1:1">
      <c r="A252" s="8" t="s">
        <v>241</v>
      </c>
    </row>
    <row r="253" spans="1:1">
      <c r="A253" s="8" t="s">
        <v>242</v>
      </c>
    </row>
    <row r="254" spans="1:1">
      <c r="A254" s="8" t="s">
        <v>243</v>
      </c>
    </row>
    <row r="255" spans="1:1">
      <c r="A255" s="8" t="s">
        <v>68</v>
      </c>
    </row>
    <row r="256" spans="1:1">
      <c r="A256" s="8" t="s">
        <v>234</v>
      </c>
    </row>
    <row r="257" spans="1:1">
      <c r="A257" s="8" t="s">
        <v>245</v>
      </c>
    </row>
    <row r="258" spans="1:1">
      <c r="A258" s="8" t="s">
        <v>246</v>
      </c>
    </row>
    <row r="259" spans="1:1">
      <c r="A259" s="8" t="s">
        <v>237</v>
      </c>
    </row>
    <row r="260" spans="1:1">
      <c r="A260" s="8" t="s">
        <v>247</v>
      </c>
    </row>
    <row r="261" spans="1:1">
      <c r="A261" s="8" t="s">
        <v>248</v>
      </c>
    </row>
    <row r="262" spans="1:1">
      <c r="A262" s="8" t="s">
        <v>249</v>
      </c>
    </row>
    <row r="263" spans="1:1">
      <c r="A263" s="8" t="s">
        <v>250</v>
      </c>
    </row>
    <row r="264" spans="1:1">
      <c r="A264" s="8" t="s">
        <v>251</v>
      </c>
    </row>
    <row r="265" spans="1:1">
      <c r="A265" s="8" t="s">
        <v>252</v>
      </c>
    </row>
    <row r="266" spans="1:1">
      <c r="A266" s="8" t="s">
        <v>68</v>
      </c>
    </row>
  </sheetData>
  <hyperlinks>
    <hyperlink ref="A2" r:id="rId1" xr:uid="{00000000-0004-0000-0100-000000000000}"/>
    <hyperlink ref="A21" r:id="rId2" xr:uid="{00000000-0004-0000-0100-000001000000}"/>
    <hyperlink ref="A61" r:id="rId3" xr:uid="{00000000-0004-0000-0100-000002000000}"/>
    <hyperlink ref="A131" r:id="rId4" xr:uid="{00000000-0004-0000-0100-000003000000}"/>
    <hyperlink ref="A151" r:id="rId5" xr:uid="{00000000-0004-0000-0100-000004000000}"/>
    <hyperlink ref="A171" r:id="rId6" xr:uid="{00000000-0004-0000-0100-000005000000}"/>
    <hyperlink ref="A201" r:id="rId7" xr:uid="{00000000-0004-0000-0100-000006000000}"/>
    <hyperlink ref="A231" r:id="rId8" xr:uid="{00000000-0004-0000-0100-000007000000}"/>
  </hyperlinks>
  <pageMargins left="0.7" right="0.7" top="0.78740157499999996" bottom="0.78740157499999996" header="0.3" footer="0.3"/>
  <pageSetup paperSize="9" orientation="portrait" verticalDpi="0" r:id="rId9"/>
  <drawing r:id="rId10"/>
  <legacyDrawing r:id="rId11"/>
  <mc:AlternateContent xmlns:mc="http://schemas.openxmlformats.org/markup-compatibility/2006">
    <mc:Choice Requires="x14">
      <controls>
        <mc:AlternateContent xmlns:mc="http://schemas.openxmlformats.org/markup-compatibility/2006">
          <mc:Choice Requires="x14">
            <control shapeId="21505" r:id="rId12" name="Button 1">
              <controlPr defaultSize="0" print="0" autoFill="0" autoPict="0" macro="[0]!Main_WriteDataToSql">
                <anchor moveWithCells="1" sizeWithCells="1">
                  <from>
                    <xdr:col>9</xdr:col>
                    <xdr:colOff>411480</xdr:colOff>
                    <xdr:row>4</xdr:row>
                    <xdr:rowOff>99060</xdr:rowOff>
                  </from>
                  <to>
                    <xdr:col>11</xdr:col>
                    <xdr:colOff>685800</xdr:colOff>
                    <xdr:row>7</xdr:row>
                    <xdr:rowOff>106680</xdr:rowOff>
                  </to>
                </anchor>
              </controlPr>
            </control>
          </mc:Choice>
        </mc:AlternateContent>
        <mc:AlternateContent xmlns:mc="http://schemas.openxmlformats.org/markup-compatibility/2006">
          <mc:Choice Requires="x14">
            <control shapeId="21506" r:id="rId13" name="Button 2">
              <controlPr defaultSize="0" print="0" autoFill="0" autoPict="0" macro="[0]!Main_DeleteDataFromSql">
                <anchor moveWithCells="1" sizeWithCells="1">
                  <from>
                    <xdr:col>9</xdr:col>
                    <xdr:colOff>441960</xdr:colOff>
                    <xdr:row>1</xdr:row>
                    <xdr:rowOff>22860</xdr:rowOff>
                  </from>
                  <to>
                    <xdr:col>11</xdr:col>
                    <xdr:colOff>678180</xdr:colOff>
                    <xdr:row>4</xdr:row>
                    <xdr:rowOff>7620</xdr:rowOff>
                  </to>
                </anchor>
              </controlPr>
            </control>
          </mc:Choice>
        </mc:AlternateContent>
        <mc:AlternateContent xmlns:mc="http://schemas.openxmlformats.org/markup-compatibility/2006">
          <mc:Choice Requires="x14">
            <control shapeId="21507" r:id="rId14" name="Button 3">
              <controlPr defaultSize="0" print="0" autoFill="0" autoPict="0" macro="[0]!Main_ReadDataFromSql">
                <anchor moveWithCells="1" sizeWithCells="1">
                  <from>
                    <xdr:col>7</xdr:col>
                    <xdr:colOff>0</xdr:colOff>
                    <xdr:row>5</xdr:row>
                    <xdr:rowOff>7620</xdr:rowOff>
                  </from>
                  <to>
                    <xdr:col>9</xdr:col>
                    <xdr:colOff>205740</xdr:colOff>
                    <xdr:row>7</xdr:row>
                    <xdr:rowOff>129540</xdr:rowOff>
                  </to>
                </anchor>
              </controlPr>
            </control>
          </mc:Choice>
        </mc:AlternateContent>
        <mc:AlternateContent xmlns:mc="http://schemas.openxmlformats.org/markup-compatibility/2006">
          <mc:Choice Requires="x14">
            <control shapeId="21508" r:id="rId15" name="Button 4">
              <controlPr defaultSize="0" print="0" autoFill="0" autoPict="0" macro="[0]!Main_UpdateDataToSql">
                <anchor moveWithCells="1" sizeWithCells="1">
                  <from>
                    <xdr:col>7</xdr:col>
                    <xdr:colOff>22860</xdr:colOff>
                    <xdr:row>1</xdr:row>
                    <xdr:rowOff>38100</xdr:rowOff>
                  </from>
                  <to>
                    <xdr:col>9</xdr:col>
                    <xdr:colOff>228600</xdr:colOff>
                    <xdr:row>4</xdr:row>
                    <xdr:rowOff>38100</xdr:rowOff>
                  </to>
                </anchor>
              </controlPr>
            </control>
          </mc:Choice>
        </mc:AlternateContent>
        <mc:AlternateContent xmlns:mc="http://schemas.openxmlformats.org/markup-compatibility/2006">
          <mc:Choice Requires="x14">
            <control shapeId="21509" r:id="rId16" name="Button 5">
              <controlPr defaultSize="0" print="0" autoFill="0" autoPict="0" macro="[0]!Main_WriteONEDataToSql">
                <anchor moveWithCells="1" sizeWithCells="1">
                  <from>
                    <xdr:col>9</xdr:col>
                    <xdr:colOff>449580</xdr:colOff>
                    <xdr:row>8</xdr:row>
                    <xdr:rowOff>76200</xdr:rowOff>
                  </from>
                  <to>
                    <xdr:col>11</xdr:col>
                    <xdr:colOff>685800</xdr:colOff>
                    <xdr:row>11</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7"/>
  <dimension ref="A1:G83"/>
  <sheetViews>
    <sheetView workbookViewId="0">
      <selection activeCell="G10" sqref="G10"/>
    </sheetView>
  </sheetViews>
  <sheetFormatPr baseColWidth="10" defaultRowHeight="14.4"/>
  <sheetData>
    <row r="1" spans="1:7">
      <c r="A1" s="8" t="s">
        <v>36</v>
      </c>
      <c r="G1" s="29" t="s">
        <v>1222</v>
      </c>
    </row>
    <row r="2" spans="1:7">
      <c r="A2" s="8" t="s">
        <v>51</v>
      </c>
    </row>
    <row r="3" spans="1:7">
      <c r="A3" s="8" t="s">
        <v>1171</v>
      </c>
    </row>
    <row r="4" spans="1:7">
      <c r="A4" s="8" t="s">
        <v>160</v>
      </c>
    </row>
    <row r="5" spans="1:7">
      <c r="A5" s="8" t="s">
        <v>1172</v>
      </c>
    </row>
    <row r="6" spans="1:7">
      <c r="A6" s="8" t="s">
        <v>1173</v>
      </c>
    </row>
    <row r="7" spans="1:7">
      <c r="A7" s="8" t="s">
        <v>176</v>
      </c>
    </row>
    <row r="8" spans="1:7">
      <c r="A8" s="8" t="s">
        <v>164</v>
      </c>
    </row>
    <row r="9" spans="1:7">
      <c r="A9" s="8" t="s">
        <v>165</v>
      </c>
    </row>
    <row r="10" spans="1:7">
      <c r="A10" s="8" t="s">
        <v>57</v>
      </c>
    </row>
    <row r="11" spans="1:7">
      <c r="A11" s="8" t="s">
        <v>166</v>
      </c>
    </row>
    <row r="12" spans="1:7">
      <c r="A12" s="8" t="s">
        <v>1174</v>
      </c>
    </row>
    <row r="13" spans="1:7">
      <c r="A13" s="8" t="s">
        <v>1175</v>
      </c>
    </row>
    <row r="14" spans="1:7">
      <c r="A14" s="8" t="s">
        <v>68</v>
      </c>
    </row>
    <row r="15" spans="1:7">
      <c r="A15" s="8" t="s">
        <v>1176</v>
      </c>
    </row>
    <row r="16" spans="1:7">
      <c r="A16" s="8" t="s">
        <v>1177</v>
      </c>
    </row>
    <row r="17" spans="1:1">
      <c r="A17" s="8" t="s">
        <v>68</v>
      </c>
    </row>
    <row r="18" spans="1:1">
      <c r="A18" s="8" t="s">
        <v>1178</v>
      </c>
    </row>
    <row r="19" spans="1:1">
      <c r="A19" s="8" t="s">
        <v>1179</v>
      </c>
    </row>
    <row r="20" spans="1:1">
      <c r="A20" s="8" t="s">
        <v>68</v>
      </c>
    </row>
    <row r="21" spans="1:1">
      <c r="A21" s="8" t="s">
        <v>1180</v>
      </c>
    </row>
    <row r="22" spans="1:1">
      <c r="A22" s="8" t="s">
        <v>1181</v>
      </c>
    </row>
    <row r="23" spans="1:1">
      <c r="A23" s="8" t="s">
        <v>68</v>
      </c>
    </row>
    <row r="24" spans="1:1">
      <c r="A24" s="8" t="s">
        <v>1182</v>
      </c>
    </row>
    <row r="25" spans="1:1">
      <c r="A25" s="8" t="s">
        <v>1183</v>
      </c>
    </row>
    <row r="26" spans="1:1">
      <c r="A26" s="8" t="s">
        <v>68</v>
      </c>
    </row>
    <row r="27" spans="1:1">
      <c r="A27" s="8" t="s">
        <v>1184</v>
      </c>
    </row>
    <row r="28" spans="1:1">
      <c r="A28" s="8" t="s">
        <v>1185</v>
      </c>
    </row>
    <row r="29" spans="1:1">
      <c r="A29" s="8" t="s">
        <v>68</v>
      </c>
    </row>
    <row r="30" spans="1:1">
      <c r="A30" s="8" t="s">
        <v>1186</v>
      </c>
    </row>
    <row r="31" spans="1:1">
      <c r="A31" s="8" t="s">
        <v>1187</v>
      </c>
    </row>
    <row r="32" spans="1:1">
      <c r="A32" s="8" t="s">
        <v>68</v>
      </c>
    </row>
    <row r="33" spans="1:1">
      <c r="A33" s="8" t="s">
        <v>1188</v>
      </c>
    </row>
    <row r="34" spans="1:1">
      <c r="A34" s="8" t="s">
        <v>1189</v>
      </c>
    </row>
    <row r="35" spans="1:1">
      <c r="A35" s="8" t="s">
        <v>68</v>
      </c>
    </row>
    <row r="36" spans="1:1">
      <c r="A36" s="8" t="s">
        <v>1190</v>
      </c>
    </row>
    <row r="37" spans="1:1">
      <c r="A37" s="8" t="s">
        <v>1191</v>
      </c>
    </row>
    <row r="38" spans="1:1">
      <c r="A38" s="8" t="s">
        <v>68</v>
      </c>
    </row>
    <row r="39" spans="1:1">
      <c r="A39" s="8" t="s">
        <v>1192</v>
      </c>
    </row>
    <row r="40" spans="1:1">
      <c r="A40" s="8" t="s">
        <v>1193</v>
      </c>
    </row>
    <row r="41" spans="1:1">
      <c r="A41" s="8" t="s">
        <v>68</v>
      </c>
    </row>
    <row r="42" spans="1:1">
      <c r="A42" s="8" t="s">
        <v>1194</v>
      </c>
    </row>
    <row r="43" spans="1:1">
      <c r="A43" s="8" t="s">
        <v>1195</v>
      </c>
    </row>
    <row r="44" spans="1:1">
      <c r="A44" s="8" t="s">
        <v>68</v>
      </c>
    </row>
    <row r="45" spans="1:1">
      <c r="A45" s="8" t="s">
        <v>1196</v>
      </c>
    </row>
    <row r="46" spans="1:1">
      <c r="A46" s="8" t="s">
        <v>1197</v>
      </c>
    </row>
    <row r="47" spans="1:1">
      <c r="A47" s="8" t="s">
        <v>68</v>
      </c>
    </row>
    <row r="48" spans="1:1">
      <c r="A48" s="8" t="s">
        <v>1198</v>
      </c>
    </row>
    <row r="49" spans="1:1">
      <c r="A49" s="8" t="s">
        <v>1199</v>
      </c>
    </row>
    <row r="50" spans="1:1">
      <c r="A50" s="8" t="s">
        <v>68</v>
      </c>
    </row>
    <row r="51" spans="1:1">
      <c r="A51" s="8" t="s">
        <v>1200</v>
      </c>
    </row>
    <row r="52" spans="1:1">
      <c r="A52" s="8" t="s">
        <v>1201</v>
      </c>
    </row>
    <row r="53" spans="1:1">
      <c r="A53" s="8" t="s">
        <v>68</v>
      </c>
    </row>
    <row r="54" spans="1:1">
      <c r="A54" s="8" t="s">
        <v>1202</v>
      </c>
    </row>
    <row r="55" spans="1:1">
      <c r="A55" s="8" t="s">
        <v>1203</v>
      </c>
    </row>
    <row r="56" spans="1:1">
      <c r="A56" s="8" t="s">
        <v>68</v>
      </c>
    </row>
    <row r="57" spans="1:1">
      <c r="A57" s="8" t="s">
        <v>1204</v>
      </c>
    </row>
    <row r="58" spans="1:1">
      <c r="A58" s="8" t="s">
        <v>1205</v>
      </c>
    </row>
    <row r="59" spans="1:1">
      <c r="A59" s="8" t="s">
        <v>68</v>
      </c>
    </row>
    <row r="60" spans="1:1">
      <c r="A60" s="8" t="s">
        <v>1206</v>
      </c>
    </row>
    <row r="61" spans="1:1">
      <c r="A61" s="8" t="s">
        <v>1207</v>
      </c>
    </row>
    <row r="62" spans="1:1">
      <c r="A62" s="8" t="s">
        <v>68</v>
      </c>
    </row>
    <row r="63" spans="1:1">
      <c r="A63" s="8" t="s">
        <v>1208</v>
      </c>
    </row>
    <row r="64" spans="1:1">
      <c r="A64" s="8" t="s">
        <v>1209</v>
      </c>
    </row>
    <row r="65" spans="1:1">
      <c r="A65" s="8" t="s">
        <v>68</v>
      </c>
    </row>
    <row r="66" spans="1:1">
      <c r="A66" s="8" t="s">
        <v>1210</v>
      </c>
    </row>
    <row r="67" spans="1:1">
      <c r="A67" s="8" t="s">
        <v>1211</v>
      </c>
    </row>
    <row r="68" spans="1:1">
      <c r="A68" s="8" t="s">
        <v>68</v>
      </c>
    </row>
    <row r="69" spans="1:1">
      <c r="A69" s="8" t="s">
        <v>1212</v>
      </c>
    </row>
    <row r="70" spans="1:1">
      <c r="A70" s="8" t="s">
        <v>1213</v>
      </c>
    </row>
    <row r="71" spans="1:1">
      <c r="A71" s="8" t="s">
        <v>68</v>
      </c>
    </row>
    <row r="72" spans="1:1">
      <c r="A72" s="8" t="s">
        <v>1214</v>
      </c>
    </row>
    <row r="73" spans="1:1">
      <c r="A73" s="8" t="s">
        <v>1215</v>
      </c>
    </row>
    <row r="74" spans="1:1">
      <c r="A74" s="8" t="s">
        <v>68</v>
      </c>
    </row>
    <row r="75" spans="1:1">
      <c r="A75" s="8" t="s">
        <v>1216</v>
      </c>
    </row>
    <row r="76" spans="1:1">
      <c r="A76" s="8" t="s">
        <v>1217</v>
      </c>
    </row>
    <row r="77" spans="1:1">
      <c r="A77" s="8" t="s">
        <v>68</v>
      </c>
    </row>
    <row r="78" spans="1:1">
      <c r="A78" s="8" t="s">
        <v>1218</v>
      </c>
    </row>
    <row r="79" spans="1:1">
      <c r="A79" s="8" t="s">
        <v>1219</v>
      </c>
    </row>
    <row r="80" spans="1:1">
      <c r="A80" s="8" t="s">
        <v>68</v>
      </c>
    </row>
    <row r="81" spans="1:1">
      <c r="A81" s="8" t="s">
        <v>1220</v>
      </c>
    </row>
    <row r="82" spans="1:1">
      <c r="A82" s="8" t="s">
        <v>1221</v>
      </c>
    </row>
    <row r="83" spans="1:1">
      <c r="A83" s="8" t="s">
        <v>68</v>
      </c>
    </row>
  </sheetData>
  <pageMargins left="0.7" right="0.7" top="0.78740157499999996" bottom="0.78740157499999996"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SMA_Routine">
                <anchor moveWithCells="1" sizeWithCells="1">
                  <from>
                    <xdr:col>12</xdr:col>
                    <xdr:colOff>68580</xdr:colOff>
                    <xdr:row>0</xdr:row>
                    <xdr:rowOff>129540</xdr:rowOff>
                  </from>
                  <to>
                    <xdr:col>14</xdr:col>
                    <xdr:colOff>495300</xdr:colOff>
                    <xdr:row>4</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A1:L806"/>
  <sheetViews>
    <sheetView workbookViewId="0">
      <selection activeCell="A25" sqref="A25:B25"/>
    </sheetView>
  </sheetViews>
  <sheetFormatPr baseColWidth="10" defaultRowHeight="14.4"/>
  <cols>
    <col min="1" max="1" width="48.88671875" customWidth="1"/>
    <col min="2" max="2" width="23.6640625" style="15" customWidth="1"/>
    <col min="3" max="3" width="16.44140625" customWidth="1"/>
    <col min="4" max="4" width="34.33203125" customWidth="1"/>
    <col min="5" max="5" width="22.44140625" customWidth="1"/>
  </cols>
  <sheetData>
    <row r="1" spans="1:12">
      <c r="C1" s="5" t="s">
        <v>1074</v>
      </c>
      <c r="D1" s="5" t="s">
        <v>214</v>
      </c>
      <c r="L1" s="5"/>
    </row>
    <row r="2" spans="1:12">
      <c r="A2" t="s">
        <v>255</v>
      </c>
      <c r="B2" s="15" t="s">
        <v>1143</v>
      </c>
      <c r="D2" t="s">
        <v>255</v>
      </c>
      <c r="E2" s="15" t="s">
        <v>256</v>
      </c>
    </row>
    <row r="3" spans="1:12">
      <c r="A3" t="s">
        <v>257</v>
      </c>
      <c r="B3" s="15" t="s">
        <v>1230</v>
      </c>
      <c r="D3" t="s">
        <v>257</v>
      </c>
      <c r="E3" s="15" t="s">
        <v>1</v>
      </c>
    </row>
    <row r="4" spans="1:12">
      <c r="A4" t="s">
        <v>258</v>
      </c>
      <c r="B4" s="16">
        <v>44841</v>
      </c>
      <c r="D4" t="s">
        <v>258</v>
      </c>
      <c r="E4" s="16">
        <v>44246</v>
      </c>
    </row>
    <row r="5" spans="1:12">
      <c r="A5" t="s">
        <v>259</v>
      </c>
      <c r="B5" s="15" t="s">
        <v>260</v>
      </c>
      <c r="D5" t="s">
        <v>259</v>
      </c>
      <c r="E5" s="15" t="s">
        <v>260</v>
      </c>
    </row>
    <row r="6" spans="1:12">
      <c r="A6" t="s">
        <v>261</v>
      </c>
      <c r="B6" s="15" t="s">
        <v>262</v>
      </c>
      <c r="D6" t="s">
        <v>261</v>
      </c>
      <c r="E6" s="15" t="s">
        <v>262</v>
      </c>
    </row>
    <row r="7" spans="1:12">
      <c r="A7" t="s">
        <v>1718</v>
      </c>
      <c r="B7" s="15">
        <v>31.15</v>
      </c>
      <c r="D7" t="s">
        <v>263</v>
      </c>
      <c r="E7" s="15">
        <v>243.75</v>
      </c>
      <c r="H7" s="7"/>
      <c r="I7" s="11"/>
    </row>
    <row r="8" spans="1:12">
      <c r="A8" t="s">
        <v>1719</v>
      </c>
      <c r="B8" s="15">
        <v>31.15</v>
      </c>
      <c r="D8" t="s">
        <v>264</v>
      </c>
      <c r="E8" s="15">
        <v>243.86</v>
      </c>
      <c r="H8" s="7"/>
      <c r="I8" s="11"/>
    </row>
    <row r="9" spans="1:12">
      <c r="A9" t="s">
        <v>1720</v>
      </c>
      <c r="B9" s="15">
        <v>30.68</v>
      </c>
      <c r="D9" t="s">
        <v>265</v>
      </c>
      <c r="E9" s="15">
        <v>240.18</v>
      </c>
    </row>
    <row r="10" spans="1:12">
      <c r="A10" s="17" t="s">
        <v>1721</v>
      </c>
      <c r="B10" s="18">
        <v>30.68</v>
      </c>
      <c r="C10" s="26">
        <f>B10/B18-1</f>
        <v>-3.5523420308079201E-2</v>
      </c>
      <c r="D10" t="s">
        <v>266</v>
      </c>
      <c r="E10" s="15">
        <v>240.97</v>
      </c>
      <c r="H10" s="5" t="s">
        <v>231</v>
      </c>
      <c r="I10" s="25" t="s">
        <v>1073</v>
      </c>
    </row>
    <row r="11" spans="1:12">
      <c r="A11" t="s">
        <v>1722</v>
      </c>
      <c r="B11" s="15">
        <v>60</v>
      </c>
      <c r="D11" t="s">
        <v>267</v>
      </c>
      <c r="E11" s="15">
        <v>240.97</v>
      </c>
      <c r="H11" s="7" t="s">
        <v>1063</v>
      </c>
      <c r="I11" s="11" cm="1">
        <f t="array" ref="I11">MIN(IF(RIGHT(A2:A506,8)="4. close", B2:B506))</f>
        <v>28.79</v>
      </c>
    </row>
    <row r="12" spans="1:12">
      <c r="A12" t="s">
        <v>1723</v>
      </c>
      <c r="B12" s="15">
        <v>31.81</v>
      </c>
      <c r="D12" t="s">
        <v>268</v>
      </c>
      <c r="E12" s="15">
        <v>25262600</v>
      </c>
      <c r="H12" s="7" t="s">
        <v>1064</v>
      </c>
      <c r="I12" s="11" cm="1">
        <f t="array" ref="I12">MAX(IF(RIGHT(A2:A506,8)="4. close", B2:B506))</f>
        <v>44.17</v>
      </c>
    </row>
    <row r="13" spans="1:12">
      <c r="A13" t="s">
        <v>1724</v>
      </c>
      <c r="B13" s="15">
        <v>31.81</v>
      </c>
      <c r="D13" t="s">
        <v>269</v>
      </c>
      <c r="E13" s="15">
        <v>0</v>
      </c>
    </row>
    <row r="14" spans="1:12">
      <c r="A14" t="s">
        <v>1725</v>
      </c>
      <c r="B14" s="15">
        <v>31.16</v>
      </c>
      <c r="D14" t="s">
        <v>270</v>
      </c>
      <c r="E14" s="15">
        <v>1</v>
      </c>
      <c r="H14" s="7" t="s">
        <v>1070</v>
      </c>
      <c r="I14">
        <f t="array" ref="I14">SUM(EXACT(RIGHT(A1:A810,LEN("4. close")),"4. close")*1)</f>
        <v>100</v>
      </c>
    </row>
    <row r="15" spans="1:12">
      <c r="A15" s="17" t="s">
        <v>1726</v>
      </c>
      <c r="B15" s="18">
        <v>31.43</v>
      </c>
      <c r="D15" t="s">
        <v>271</v>
      </c>
      <c r="E15" s="15">
        <v>241.8</v>
      </c>
      <c r="H15" s="7" t="s">
        <v>1071</v>
      </c>
      <c r="I15" s="11">
        <f t="array" ref="I15">SUM(IF(RIGHT(A2:A810,8)="4. close", B2:B810))</f>
        <v>3374.9500000000007</v>
      </c>
    </row>
    <row r="16" spans="1:12">
      <c r="A16" t="s">
        <v>1727</v>
      </c>
      <c r="B16" s="15">
        <v>1565</v>
      </c>
      <c r="D16" t="s">
        <v>272</v>
      </c>
      <c r="E16" s="15">
        <v>243.93</v>
      </c>
      <c r="H16" s="7" t="s">
        <v>1072</v>
      </c>
      <c r="I16" s="11">
        <f>I15/I14</f>
        <v>33.749500000000005</v>
      </c>
    </row>
    <row r="17" spans="1:5">
      <c r="A17" t="s">
        <v>1728</v>
      </c>
      <c r="B17" s="15">
        <v>31.81</v>
      </c>
      <c r="D17" t="s">
        <v>273</v>
      </c>
      <c r="E17" s="15">
        <v>240.86</v>
      </c>
    </row>
    <row r="18" spans="1:5">
      <c r="A18" t="s">
        <v>1729</v>
      </c>
      <c r="B18" s="15">
        <v>31.81</v>
      </c>
      <c r="C18" s="26">
        <f>B18/B26-1</f>
        <v>-0.99194071446668353</v>
      </c>
      <c r="D18" t="s">
        <v>274</v>
      </c>
      <c r="E18" s="15">
        <v>243.79</v>
      </c>
    </row>
    <row r="19" spans="1:5">
      <c r="A19" t="s">
        <v>1730</v>
      </c>
      <c r="B19" s="15">
        <v>31.41</v>
      </c>
      <c r="D19" t="s">
        <v>275</v>
      </c>
      <c r="E19" s="15">
        <v>243.79</v>
      </c>
    </row>
    <row r="20" spans="1:5">
      <c r="A20" s="17" t="s">
        <v>1731</v>
      </c>
      <c r="B20" s="18">
        <v>31.62</v>
      </c>
      <c r="D20" t="s">
        <v>276</v>
      </c>
      <c r="E20" s="15">
        <v>16925563</v>
      </c>
    </row>
    <row r="21" spans="1:5">
      <c r="A21" t="s">
        <v>1732</v>
      </c>
      <c r="B21" s="15">
        <v>857</v>
      </c>
      <c r="D21" t="s">
        <v>277</v>
      </c>
      <c r="E21" s="15">
        <v>0</v>
      </c>
    </row>
    <row r="22" spans="1:5">
      <c r="A22" t="s">
        <v>1733</v>
      </c>
      <c r="B22" s="15">
        <v>30.8</v>
      </c>
      <c r="D22" t="s">
        <v>278</v>
      </c>
      <c r="E22" s="15">
        <v>1</v>
      </c>
    </row>
    <row r="23" spans="1:5">
      <c r="A23" t="s">
        <v>1734</v>
      </c>
      <c r="B23" s="15">
        <v>32.04</v>
      </c>
      <c r="D23" t="s">
        <v>279</v>
      </c>
      <c r="E23" s="15">
        <v>241.32</v>
      </c>
    </row>
    <row r="24" spans="1:5">
      <c r="A24" t="s">
        <v>1735</v>
      </c>
      <c r="B24" s="15">
        <v>30.8</v>
      </c>
      <c r="D24" t="s">
        <v>280</v>
      </c>
      <c r="E24" s="15">
        <v>244.31</v>
      </c>
    </row>
    <row r="25" spans="1:5">
      <c r="A25" s="17" t="s">
        <v>1736</v>
      </c>
      <c r="B25" s="18">
        <v>31.89</v>
      </c>
      <c r="D25" t="s">
        <v>281</v>
      </c>
      <c r="E25" s="15">
        <v>240.94</v>
      </c>
    </row>
    <row r="26" spans="1:5">
      <c r="A26" t="s">
        <v>1737</v>
      </c>
      <c r="B26" s="15">
        <v>3947</v>
      </c>
      <c r="C26" s="26">
        <f>B26/B34-1</f>
        <v>135.71631451333565</v>
      </c>
      <c r="D26" t="s">
        <v>282</v>
      </c>
      <c r="E26" s="15">
        <v>244.2</v>
      </c>
    </row>
    <row r="27" spans="1:5">
      <c r="A27" t="s">
        <v>1738</v>
      </c>
      <c r="B27" s="15">
        <v>29.39</v>
      </c>
      <c r="D27" t="s">
        <v>283</v>
      </c>
      <c r="E27" s="15">
        <v>244.2</v>
      </c>
    </row>
    <row r="28" spans="1:5">
      <c r="A28" t="s">
        <v>1739</v>
      </c>
      <c r="B28" s="15">
        <v>30.41</v>
      </c>
      <c r="D28" t="s">
        <v>284</v>
      </c>
      <c r="E28" s="15">
        <v>21451617</v>
      </c>
    </row>
    <row r="29" spans="1:5">
      <c r="A29" t="s">
        <v>1740</v>
      </c>
      <c r="B29" s="15">
        <v>29.28</v>
      </c>
      <c r="D29" t="s">
        <v>285</v>
      </c>
      <c r="E29" s="15">
        <v>0.56000000000000005</v>
      </c>
    </row>
    <row r="30" spans="1:5">
      <c r="A30" t="s">
        <v>1741</v>
      </c>
      <c r="B30" s="15">
        <v>30.41</v>
      </c>
      <c r="D30" t="s">
        <v>286</v>
      </c>
      <c r="E30" s="15">
        <v>1</v>
      </c>
    </row>
    <row r="31" spans="1:5">
      <c r="A31" t="s">
        <v>1742</v>
      </c>
      <c r="B31" s="15">
        <v>367</v>
      </c>
      <c r="D31" t="s">
        <v>287</v>
      </c>
      <c r="E31" s="15">
        <v>245.03</v>
      </c>
    </row>
    <row r="32" spans="1:5">
      <c r="A32" t="s">
        <v>1693</v>
      </c>
      <c r="B32" s="15">
        <v>28.87</v>
      </c>
      <c r="D32" t="s">
        <v>288</v>
      </c>
      <c r="E32" s="15">
        <v>246.13</v>
      </c>
    </row>
    <row r="33" spans="1:5">
      <c r="A33" t="s">
        <v>1694</v>
      </c>
      <c r="B33" s="15">
        <v>29.12</v>
      </c>
      <c r="D33" t="s">
        <v>289</v>
      </c>
      <c r="E33" s="15">
        <v>242.92</v>
      </c>
    </row>
    <row r="34" spans="1:5">
      <c r="A34" t="s">
        <v>1695</v>
      </c>
      <c r="B34" s="15">
        <v>28.87</v>
      </c>
      <c r="C34" s="26">
        <f>B34/B42-1</f>
        <v>3.1271716469769562E-3</v>
      </c>
      <c r="D34" t="s">
        <v>290</v>
      </c>
      <c r="E34" s="15">
        <v>243.7</v>
      </c>
    </row>
    <row r="35" spans="1:5">
      <c r="A35" t="s">
        <v>1696</v>
      </c>
      <c r="B35" s="15">
        <v>29.05</v>
      </c>
      <c r="D35" t="s">
        <v>291</v>
      </c>
      <c r="E35" s="15">
        <v>243.14242523300001</v>
      </c>
    </row>
    <row r="36" spans="1:5">
      <c r="A36" t="s">
        <v>1697</v>
      </c>
      <c r="B36" s="15">
        <v>1754</v>
      </c>
      <c r="D36" t="s">
        <v>292</v>
      </c>
      <c r="E36" s="15">
        <v>26728487</v>
      </c>
    </row>
    <row r="37" spans="1:5">
      <c r="A37" t="s">
        <v>1698</v>
      </c>
      <c r="B37" s="15">
        <v>29.22</v>
      </c>
      <c r="D37" t="s">
        <v>293</v>
      </c>
      <c r="E37" s="15">
        <v>0</v>
      </c>
    </row>
    <row r="38" spans="1:5">
      <c r="A38" t="s">
        <v>1699</v>
      </c>
      <c r="B38" s="15">
        <v>29.22</v>
      </c>
      <c r="D38" t="s">
        <v>294</v>
      </c>
      <c r="E38" s="15">
        <v>1</v>
      </c>
    </row>
    <row r="39" spans="1:5">
      <c r="A39" t="s">
        <v>1700</v>
      </c>
      <c r="B39" s="15">
        <v>27.76</v>
      </c>
      <c r="D39" t="s">
        <v>295</v>
      </c>
      <c r="E39" s="15">
        <v>243.9332</v>
      </c>
    </row>
    <row r="40" spans="1:5">
      <c r="A40" t="s">
        <v>1701</v>
      </c>
      <c r="B40" s="15">
        <v>28.79</v>
      </c>
      <c r="D40" t="s">
        <v>296</v>
      </c>
      <c r="E40" s="15">
        <v>245.3</v>
      </c>
    </row>
    <row r="41" spans="1:5">
      <c r="A41" t="s">
        <v>1702</v>
      </c>
      <c r="B41" s="15">
        <v>20766</v>
      </c>
      <c r="D41" t="s">
        <v>297</v>
      </c>
      <c r="E41" s="15">
        <v>242.73</v>
      </c>
    </row>
    <row r="42" spans="1:5">
      <c r="A42" t="s">
        <v>1703</v>
      </c>
      <c r="B42" s="15">
        <v>28.78</v>
      </c>
      <c r="C42" s="26">
        <f>B42/B50-1</f>
        <v>-2.142128527711662E-2</v>
      </c>
      <c r="D42" t="s">
        <v>298</v>
      </c>
      <c r="E42" s="15">
        <v>244.99</v>
      </c>
    </row>
    <row r="43" spans="1:5">
      <c r="A43" t="s">
        <v>1704</v>
      </c>
      <c r="B43" s="15">
        <v>29.41</v>
      </c>
      <c r="D43" t="s">
        <v>299</v>
      </c>
      <c r="E43" s="15">
        <v>244.42947376999999</v>
      </c>
    </row>
    <row r="44" spans="1:5">
      <c r="A44" t="s">
        <v>1705</v>
      </c>
      <c r="B44" s="15">
        <v>28.1</v>
      </c>
      <c r="D44" t="s">
        <v>300</v>
      </c>
      <c r="E44" s="15">
        <v>16561079</v>
      </c>
    </row>
    <row r="45" spans="1:5">
      <c r="A45" t="s">
        <v>1706</v>
      </c>
      <c r="B45" s="15">
        <v>29.41</v>
      </c>
      <c r="D45" t="s">
        <v>301</v>
      </c>
      <c r="E45" s="15">
        <v>0</v>
      </c>
    </row>
    <row r="46" spans="1:5">
      <c r="A46" t="s">
        <v>1707</v>
      </c>
      <c r="B46" s="15">
        <v>2371</v>
      </c>
      <c r="D46" t="s">
        <v>302</v>
      </c>
      <c r="E46" s="15">
        <v>1</v>
      </c>
    </row>
    <row r="47" spans="1:5">
      <c r="A47" t="s">
        <v>1708</v>
      </c>
      <c r="B47" s="15">
        <v>29.47</v>
      </c>
      <c r="D47" t="s">
        <v>303</v>
      </c>
      <c r="E47" s="15">
        <v>244.78</v>
      </c>
    </row>
    <row r="48" spans="1:5">
      <c r="A48" t="s">
        <v>1709</v>
      </c>
      <c r="B48" s="15">
        <v>29.47</v>
      </c>
      <c r="D48" t="s">
        <v>304</v>
      </c>
      <c r="E48" s="15">
        <v>245.15</v>
      </c>
    </row>
    <row r="49" spans="1:5">
      <c r="A49" t="s">
        <v>1710</v>
      </c>
      <c r="B49" s="15">
        <v>28.67</v>
      </c>
      <c r="D49" t="s">
        <v>305</v>
      </c>
      <c r="E49" s="15">
        <v>242.15</v>
      </c>
    </row>
    <row r="50" spans="1:5">
      <c r="A50" t="s">
        <v>1711</v>
      </c>
      <c r="B50" s="15">
        <v>29.41</v>
      </c>
      <c r="C50" s="26">
        <f>B50/B58-1</f>
        <v>-2.0972037283621847E-2</v>
      </c>
      <c r="D50" t="s">
        <v>306</v>
      </c>
      <c r="E50" s="15">
        <v>244.49</v>
      </c>
    </row>
    <row r="51" spans="1:5">
      <c r="A51" t="s">
        <v>1712</v>
      </c>
      <c r="B51" s="15">
        <v>3622</v>
      </c>
      <c r="D51" t="s">
        <v>307</v>
      </c>
      <c r="E51" s="15">
        <v>243.930617748</v>
      </c>
    </row>
    <row r="52" spans="1:5">
      <c r="A52" t="s">
        <v>1713</v>
      </c>
      <c r="B52" s="15">
        <v>28.78</v>
      </c>
      <c r="D52" t="s">
        <v>308</v>
      </c>
      <c r="E52" s="15">
        <v>15751059</v>
      </c>
    </row>
    <row r="53" spans="1:5">
      <c r="A53" t="s">
        <v>1714</v>
      </c>
      <c r="B53" s="15">
        <v>29.81</v>
      </c>
      <c r="D53" t="s">
        <v>309</v>
      </c>
      <c r="E53" s="15">
        <v>0</v>
      </c>
    </row>
    <row r="54" spans="1:5">
      <c r="A54" t="s">
        <v>1715</v>
      </c>
      <c r="B54" s="15">
        <v>28.78</v>
      </c>
      <c r="D54" t="s">
        <v>310</v>
      </c>
      <c r="E54" s="15">
        <v>1</v>
      </c>
    </row>
    <row r="55" spans="1:5">
      <c r="A55" t="s">
        <v>1716</v>
      </c>
      <c r="B55" s="15">
        <v>29.74</v>
      </c>
      <c r="D55" t="s">
        <v>311</v>
      </c>
      <c r="E55" s="15">
        <v>245</v>
      </c>
    </row>
    <row r="56" spans="1:5">
      <c r="A56" t="s">
        <v>1717</v>
      </c>
      <c r="B56" s="15">
        <v>889</v>
      </c>
      <c r="D56" t="s">
        <v>312</v>
      </c>
      <c r="E56" s="15">
        <v>245.92</v>
      </c>
    </row>
    <row r="57" spans="1:5">
      <c r="A57" t="s">
        <v>1668</v>
      </c>
      <c r="B57" s="15">
        <v>30.04</v>
      </c>
      <c r="D57" t="s">
        <v>313</v>
      </c>
      <c r="E57" s="15">
        <v>240.89</v>
      </c>
    </row>
    <row r="58" spans="1:5">
      <c r="A58" t="s">
        <v>1669</v>
      </c>
      <c r="B58" s="15">
        <v>30.04</v>
      </c>
      <c r="C58" s="26">
        <f>B58/B66-1</f>
        <v>-0.99044529262086511</v>
      </c>
      <c r="D58" t="s">
        <v>314</v>
      </c>
      <c r="E58" s="15">
        <v>242.82</v>
      </c>
    </row>
    <row r="59" spans="1:5">
      <c r="A59" t="s">
        <v>1670</v>
      </c>
      <c r="B59" s="15">
        <v>28.67</v>
      </c>
      <c r="D59" t="s">
        <v>315</v>
      </c>
      <c r="E59" s="15">
        <v>242.26443863399999</v>
      </c>
    </row>
    <row r="60" spans="1:5">
      <c r="A60" t="s">
        <v>1671</v>
      </c>
      <c r="B60" s="15">
        <v>29</v>
      </c>
      <c r="D60" t="s">
        <v>316</v>
      </c>
      <c r="E60" s="15">
        <v>22117240</v>
      </c>
    </row>
    <row r="61" spans="1:5">
      <c r="A61" t="s">
        <v>1672</v>
      </c>
      <c r="B61" s="15">
        <v>5541</v>
      </c>
      <c r="D61" t="s">
        <v>317</v>
      </c>
      <c r="E61" s="15">
        <v>0</v>
      </c>
    </row>
    <row r="62" spans="1:5">
      <c r="A62" t="s">
        <v>1673</v>
      </c>
      <c r="B62" s="15">
        <v>29.59</v>
      </c>
      <c r="D62" t="s">
        <v>318</v>
      </c>
      <c r="E62" s="15">
        <v>1</v>
      </c>
    </row>
    <row r="63" spans="1:5">
      <c r="A63" t="s">
        <v>1674</v>
      </c>
      <c r="B63" s="15">
        <v>30.05</v>
      </c>
      <c r="D63" t="s">
        <v>319</v>
      </c>
      <c r="E63" s="15">
        <v>241.87</v>
      </c>
    </row>
    <row r="64" spans="1:5">
      <c r="A64" t="s">
        <v>1675</v>
      </c>
      <c r="B64" s="15">
        <v>29.43</v>
      </c>
      <c r="D64" t="s">
        <v>320</v>
      </c>
      <c r="E64" s="15">
        <v>244.76</v>
      </c>
    </row>
    <row r="65" spans="1:5">
      <c r="A65" t="s">
        <v>1676</v>
      </c>
      <c r="B65" s="15">
        <v>29.89</v>
      </c>
      <c r="D65" t="s">
        <v>321</v>
      </c>
      <c r="E65" s="15">
        <v>241.38</v>
      </c>
    </row>
    <row r="66" spans="1:5">
      <c r="A66" t="s">
        <v>1677</v>
      </c>
      <c r="B66" s="15">
        <v>3144</v>
      </c>
      <c r="C66" s="26">
        <f>B66/B74-1</f>
        <v>104.18568082970893</v>
      </c>
      <c r="D66" t="s">
        <v>322</v>
      </c>
      <c r="E66" s="15">
        <v>243.77</v>
      </c>
    </row>
    <row r="67" spans="1:5">
      <c r="A67" t="s">
        <v>1678</v>
      </c>
      <c r="B67" s="15">
        <v>29.68</v>
      </c>
      <c r="D67" t="s">
        <v>323</v>
      </c>
      <c r="E67" s="15">
        <v>243.21226507599999</v>
      </c>
    </row>
    <row r="68" spans="1:5">
      <c r="A68" t="s">
        <v>1679</v>
      </c>
      <c r="B68" s="15">
        <v>30.02</v>
      </c>
      <c r="D68" t="s">
        <v>324</v>
      </c>
      <c r="E68" s="15">
        <v>23471475</v>
      </c>
    </row>
    <row r="69" spans="1:5">
      <c r="A69" t="s">
        <v>1680</v>
      </c>
      <c r="B69" s="15">
        <v>29.34</v>
      </c>
      <c r="D69" t="s">
        <v>325</v>
      </c>
      <c r="E69" s="15">
        <v>0</v>
      </c>
    </row>
    <row r="70" spans="1:5">
      <c r="A70" t="s">
        <v>1681</v>
      </c>
      <c r="B70" s="15">
        <v>30.02</v>
      </c>
      <c r="D70" t="s">
        <v>326</v>
      </c>
      <c r="E70" s="15">
        <v>1</v>
      </c>
    </row>
    <row r="71" spans="1:5">
      <c r="A71" t="s">
        <v>1682</v>
      </c>
      <c r="B71" s="15">
        <v>4452</v>
      </c>
      <c r="D71" t="s">
        <v>327</v>
      </c>
      <c r="E71" s="15">
        <v>243.15</v>
      </c>
    </row>
    <row r="72" spans="1:5">
      <c r="A72" t="s">
        <v>1683</v>
      </c>
      <c r="B72" s="15">
        <v>30.29</v>
      </c>
      <c r="D72" t="s">
        <v>328</v>
      </c>
      <c r="E72" s="15">
        <v>243.68</v>
      </c>
    </row>
    <row r="73" spans="1:5">
      <c r="A73" t="s">
        <v>1684</v>
      </c>
      <c r="B73" s="15">
        <v>30.33</v>
      </c>
      <c r="D73" t="s">
        <v>329</v>
      </c>
      <c r="E73" s="15">
        <v>240.81</v>
      </c>
    </row>
    <row r="74" spans="1:5">
      <c r="A74" t="s">
        <v>1685</v>
      </c>
      <c r="B74" s="15">
        <v>29.89</v>
      </c>
      <c r="C74" s="26">
        <f>B74/B82-1</f>
        <v>1.0821778829895212E-2</v>
      </c>
      <c r="D74" t="s">
        <v>330</v>
      </c>
      <c r="E74" s="15">
        <v>242.47</v>
      </c>
    </row>
    <row r="75" spans="1:5">
      <c r="A75" t="s">
        <v>1686</v>
      </c>
      <c r="B75" s="15">
        <v>29.89</v>
      </c>
      <c r="D75" t="s">
        <v>331</v>
      </c>
      <c r="E75" s="15">
        <v>241.915239418</v>
      </c>
    </row>
    <row r="76" spans="1:5">
      <c r="A76" t="s">
        <v>1687</v>
      </c>
      <c r="B76" s="15">
        <v>4900</v>
      </c>
      <c r="D76" t="s">
        <v>332</v>
      </c>
      <c r="E76" s="15">
        <v>22211929</v>
      </c>
    </row>
    <row r="77" spans="1:5">
      <c r="A77" t="s">
        <v>1688</v>
      </c>
      <c r="B77" s="15">
        <v>29.2</v>
      </c>
      <c r="D77" t="s">
        <v>333</v>
      </c>
      <c r="E77" s="15">
        <v>0</v>
      </c>
    </row>
    <row r="78" spans="1:5">
      <c r="A78" t="s">
        <v>1689</v>
      </c>
      <c r="B78" s="15">
        <v>30.24</v>
      </c>
      <c r="D78" t="s">
        <v>334</v>
      </c>
      <c r="E78" s="15">
        <v>1</v>
      </c>
    </row>
    <row r="79" spans="1:5">
      <c r="A79" t="s">
        <v>1690</v>
      </c>
      <c r="B79" s="15">
        <v>29.05</v>
      </c>
      <c r="D79" t="s">
        <v>335</v>
      </c>
      <c r="E79" s="15">
        <v>242.23</v>
      </c>
    </row>
    <row r="80" spans="1:5">
      <c r="A80" t="s">
        <v>1691</v>
      </c>
      <c r="B80" s="15">
        <v>30.24</v>
      </c>
      <c r="D80" t="s">
        <v>336</v>
      </c>
      <c r="E80" s="15">
        <v>243.28</v>
      </c>
    </row>
    <row r="81" spans="1:5">
      <c r="A81" t="s">
        <v>1692</v>
      </c>
      <c r="B81" s="15">
        <v>1707</v>
      </c>
      <c r="D81" t="s">
        <v>337</v>
      </c>
      <c r="E81" s="15">
        <v>240.42</v>
      </c>
    </row>
    <row r="82" spans="1:5">
      <c r="A82" t="s">
        <v>1643</v>
      </c>
      <c r="B82" s="15">
        <v>29.57</v>
      </c>
      <c r="C82" s="26">
        <f>B82/B90-1</f>
        <v>-8.3836351441984869E-3</v>
      </c>
      <c r="D82" t="s">
        <v>338</v>
      </c>
      <c r="E82" s="15">
        <v>242.2</v>
      </c>
    </row>
    <row r="83" spans="1:5">
      <c r="A83" t="s">
        <v>1644</v>
      </c>
      <c r="B83" s="15">
        <v>29.57</v>
      </c>
      <c r="D83" t="s">
        <v>339</v>
      </c>
      <c r="E83" s="15">
        <v>241.64585716600001</v>
      </c>
    </row>
    <row r="84" spans="1:5">
      <c r="A84" t="s">
        <v>1645</v>
      </c>
      <c r="B84" s="15">
        <v>28.75</v>
      </c>
      <c r="D84" t="s">
        <v>340</v>
      </c>
      <c r="E84" s="15">
        <v>18054752</v>
      </c>
    </row>
    <row r="85" spans="1:5">
      <c r="A85" t="s">
        <v>1646</v>
      </c>
      <c r="B85" s="15">
        <v>29.44</v>
      </c>
      <c r="D85" t="s">
        <v>341</v>
      </c>
      <c r="E85" s="15">
        <v>0</v>
      </c>
    </row>
    <row r="86" spans="1:5">
      <c r="A86" t="s">
        <v>1647</v>
      </c>
      <c r="B86" s="15">
        <v>3158</v>
      </c>
      <c r="D86" t="s">
        <v>342</v>
      </c>
      <c r="E86" s="15">
        <v>1</v>
      </c>
    </row>
    <row r="87" spans="1:5">
      <c r="A87" t="s">
        <v>1648</v>
      </c>
      <c r="B87" s="15">
        <v>30.44</v>
      </c>
      <c r="D87" t="s">
        <v>343</v>
      </c>
      <c r="E87" s="15">
        <v>242.66</v>
      </c>
    </row>
    <row r="88" spans="1:5">
      <c r="A88" t="s">
        <v>1649</v>
      </c>
      <c r="B88" s="15">
        <v>30.44</v>
      </c>
      <c r="D88" t="s">
        <v>344</v>
      </c>
      <c r="E88" s="15">
        <v>243.23990000000001</v>
      </c>
    </row>
    <row r="89" spans="1:5">
      <c r="A89" t="s">
        <v>1650</v>
      </c>
      <c r="B89" s="15">
        <v>29.67</v>
      </c>
      <c r="D89" t="s">
        <v>345</v>
      </c>
      <c r="E89" s="15">
        <v>240.37</v>
      </c>
    </row>
    <row r="90" spans="1:5">
      <c r="A90" t="s">
        <v>1651</v>
      </c>
      <c r="B90" s="15">
        <v>29.82</v>
      </c>
      <c r="C90" s="26">
        <f>B90/B98-1</f>
        <v>-8.2461538461538475E-2</v>
      </c>
      <c r="D90" t="s">
        <v>346</v>
      </c>
      <c r="E90" s="15">
        <v>242.01</v>
      </c>
    </row>
    <row r="91" spans="1:5">
      <c r="A91" t="s">
        <v>1652</v>
      </c>
      <c r="B91" s="15">
        <v>3884</v>
      </c>
      <c r="D91" t="s">
        <v>347</v>
      </c>
      <c r="E91" s="15">
        <v>241.456291878</v>
      </c>
    </row>
    <row r="92" spans="1:5">
      <c r="A92" t="s">
        <v>1653</v>
      </c>
      <c r="B92" s="15">
        <v>31.1</v>
      </c>
      <c r="D92" t="s">
        <v>348</v>
      </c>
      <c r="E92" s="15">
        <v>25296100</v>
      </c>
    </row>
    <row r="93" spans="1:5">
      <c r="A93" t="s">
        <v>1654</v>
      </c>
      <c r="B93" s="15">
        <v>31.1</v>
      </c>
      <c r="D93" t="s">
        <v>349</v>
      </c>
      <c r="E93" s="15">
        <v>0</v>
      </c>
    </row>
    <row r="94" spans="1:5">
      <c r="A94" t="s">
        <v>1655</v>
      </c>
      <c r="B94" s="15">
        <v>30.26</v>
      </c>
      <c r="D94" t="s">
        <v>350</v>
      </c>
      <c r="E94" s="15">
        <v>1</v>
      </c>
    </row>
    <row r="95" spans="1:5">
      <c r="A95" t="s">
        <v>1656</v>
      </c>
      <c r="B95" s="15">
        <v>30.58</v>
      </c>
      <c r="D95" t="s">
        <v>351</v>
      </c>
      <c r="E95" s="15">
        <v>239.57</v>
      </c>
    </row>
    <row r="96" spans="1:5">
      <c r="A96" t="s">
        <v>1657</v>
      </c>
      <c r="B96" s="15">
        <v>8430</v>
      </c>
      <c r="D96" t="s">
        <v>352</v>
      </c>
      <c r="E96" s="15">
        <v>245.09</v>
      </c>
    </row>
    <row r="97" spans="1:5">
      <c r="A97" t="s">
        <v>1658</v>
      </c>
      <c r="B97" s="15">
        <v>32.36</v>
      </c>
      <c r="D97" t="s">
        <v>353</v>
      </c>
      <c r="E97" s="15">
        <v>239.26</v>
      </c>
    </row>
    <row r="98" spans="1:5">
      <c r="A98" t="s">
        <v>1659</v>
      </c>
      <c r="B98" s="15">
        <v>32.5</v>
      </c>
      <c r="C98" s="26">
        <f>B98/B106-1</f>
        <v>-0.99054407913878384</v>
      </c>
      <c r="D98" t="s">
        <v>354</v>
      </c>
      <c r="E98" s="15">
        <v>243</v>
      </c>
    </row>
    <row r="99" spans="1:5">
      <c r="A99" t="s">
        <v>1660</v>
      </c>
      <c r="B99" s="15">
        <v>31.39</v>
      </c>
      <c r="D99" t="s">
        <v>355</v>
      </c>
      <c r="E99" s="15">
        <v>242.444026802</v>
      </c>
    </row>
    <row r="100" spans="1:5">
      <c r="A100" t="s">
        <v>1661</v>
      </c>
      <c r="B100" s="15">
        <v>31.45</v>
      </c>
      <c r="D100" t="s">
        <v>356</v>
      </c>
      <c r="E100" s="15">
        <v>27158104</v>
      </c>
    </row>
    <row r="101" spans="1:5">
      <c r="A101" t="s">
        <v>1662</v>
      </c>
      <c r="B101" s="15">
        <v>4178</v>
      </c>
      <c r="D101" t="s">
        <v>357</v>
      </c>
      <c r="E101" s="15">
        <v>0</v>
      </c>
    </row>
    <row r="102" spans="1:5">
      <c r="A102" t="s">
        <v>1663</v>
      </c>
      <c r="B102" s="15">
        <v>31.86</v>
      </c>
      <c r="D102" t="s">
        <v>358</v>
      </c>
      <c r="E102" s="15">
        <v>1</v>
      </c>
    </row>
    <row r="103" spans="1:5">
      <c r="A103" t="s">
        <v>1664</v>
      </c>
      <c r="B103" s="15">
        <v>32.590000000000003</v>
      </c>
      <c r="D103" t="s">
        <v>359</v>
      </c>
      <c r="E103" s="15">
        <v>241.3</v>
      </c>
    </row>
    <row r="104" spans="1:5">
      <c r="A104" t="s">
        <v>1665</v>
      </c>
      <c r="B104" s="15">
        <v>31.86</v>
      </c>
      <c r="D104" t="s">
        <v>360</v>
      </c>
      <c r="E104" s="15">
        <v>242.31</v>
      </c>
    </row>
    <row r="105" spans="1:5">
      <c r="A105" t="s">
        <v>1666</v>
      </c>
      <c r="B105" s="15">
        <v>32.450000000000003</v>
      </c>
      <c r="D105" t="s">
        <v>361</v>
      </c>
      <c r="E105" s="15">
        <v>238.69</v>
      </c>
    </row>
    <row r="106" spans="1:5">
      <c r="A106" t="s">
        <v>1667</v>
      </c>
      <c r="B106" s="15">
        <v>3437</v>
      </c>
      <c r="C106" s="26">
        <f>B106/B114-1</f>
        <v>111.06390609716334</v>
      </c>
      <c r="D106" t="s">
        <v>362</v>
      </c>
      <c r="E106" s="15">
        <v>239.51</v>
      </c>
    </row>
    <row r="107" spans="1:5">
      <c r="A107" t="s">
        <v>1618</v>
      </c>
      <c r="B107" s="15">
        <v>30.67</v>
      </c>
      <c r="D107" t="s">
        <v>363</v>
      </c>
      <c r="E107" s="15">
        <v>238.96201176700001</v>
      </c>
    </row>
    <row r="108" spans="1:5">
      <c r="A108" t="s">
        <v>1619</v>
      </c>
      <c r="B108" s="15">
        <v>31.78</v>
      </c>
      <c r="D108" t="s">
        <v>364</v>
      </c>
      <c r="E108" s="15">
        <v>25678356</v>
      </c>
    </row>
    <row r="109" spans="1:5">
      <c r="A109" t="s">
        <v>1620</v>
      </c>
      <c r="B109" s="15">
        <v>30.67</v>
      </c>
      <c r="D109" t="s">
        <v>365</v>
      </c>
      <c r="E109" s="15">
        <v>0</v>
      </c>
    </row>
    <row r="110" spans="1:5">
      <c r="A110" t="s">
        <v>1621</v>
      </c>
      <c r="B110" s="15">
        <v>31.78</v>
      </c>
      <c r="D110" t="s">
        <v>366</v>
      </c>
      <c r="E110" s="15">
        <v>1</v>
      </c>
    </row>
    <row r="111" spans="1:5">
      <c r="A111" t="s">
        <v>1622</v>
      </c>
      <c r="B111" s="15">
        <v>41595</v>
      </c>
      <c r="D111" t="s">
        <v>367</v>
      </c>
      <c r="E111" s="15">
        <v>235.06</v>
      </c>
    </row>
    <row r="112" spans="1:5">
      <c r="A112" t="s">
        <v>1623</v>
      </c>
      <c r="B112" s="15">
        <v>30.89</v>
      </c>
      <c r="D112" t="s">
        <v>368</v>
      </c>
      <c r="E112" s="15">
        <v>242.5</v>
      </c>
    </row>
    <row r="113" spans="1:5">
      <c r="A113" t="s">
        <v>1624</v>
      </c>
      <c r="B113" s="15">
        <v>30.98</v>
      </c>
      <c r="D113" t="s">
        <v>369</v>
      </c>
      <c r="E113" s="15">
        <v>232.43</v>
      </c>
    </row>
    <row r="114" spans="1:5">
      <c r="A114" t="s">
        <v>1625</v>
      </c>
      <c r="B114" s="15">
        <v>30.67</v>
      </c>
      <c r="C114" s="26">
        <f>B114/B122-1</f>
        <v>3.2659932659932833E-2</v>
      </c>
      <c r="D114" t="s">
        <v>370</v>
      </c>
      <c r="E114" s="15">
        <v>239.65</v>
      </c>
    </row>
    <row r="115" spans="1:5">
      <c r="A115" t="s">
        <v>1626</v>
      </c>
      <c r="B115" s="15">
        <v>30.84</v>
      </c>
      <c r="D115" t="s">
        <v>371</v>
      </c>
      <c r="E115" s="15">
        <v>239.101691453</v>
      </c>
    </row>
    <row r="116" spans="1:5">
      <c r="A116" t="s">
        <v>1627</v>
      </c>
      <c r="B116" s="15">
        <v>40524</v>
      </c>
      <c r="D116" t="s">
        <v>372</v>
      </c>
      <c r="E116" s="15">
        <v>33314193</v>
      </c>
    </row>
    <row r="117" spans="1:5">
      <c r="A117" t="s">
        <v>1628</v>
      </c>
      <c r="B117" s="15">
        <v>29.77</v>
      </c>
      <c r="D117" t="s">
        <v>373</v>
      </c>
      <c r="E117" s="15">
        <v>0</v>
      </c>
    </row>
    <row r="118" spans="1:5">
      <c r="A118" t="s">
        <v>1629</v>
      </c>
      <c r="B118" s="15">
        <v>30.85</v>
      </c>
      <c r="D118" t="s">
        <v>374</v>
      </c>
      <c r="E118" s="15">
        <v>1</v>
      </c>
    </row>
    <row r="119" spans="1:5">
      <c r="A119" t="s">
        <v>1630</v>
      </c>
      <c r="B119" s="15">
        <v>29.77</v>
      </c>
      <c r="D119" t="s">
        <v>375</v>
      </c>
      <c r="E119" s="15">
        <v>235.99</v>
      </c>
    </row>
    <row r="120" spans="1:5">
      <c r="A120" t="s">
        <v>1631</v>
      </c>
      <c r="B120" s="15">
        <v>30.85</v>
      </c>
      <c r="D120" t="s">
        <v>376</v>
      </c>
      <c r="E120" s="15">
        <v>238.02</v>
      </c>
    </row>
    <row r="121" spans="1:5">
      <c r="A121" t="s">
        <v>1632</v>
      </c>
      <c r="B121" s="15">
        <v>1715</v>
      </c>
      <c r="D121" t="s">
        <v>377</v>
      </c>
      <c r="E121" s="15">
        <v>231.35</v>
      </c>
    </row>
    <row r="122" spans="1:5">
      <c r="A122" t="s">
        <v>1633</v>
      </c>
      <c r="B122" s="15">
        <v>29.7</v>
      </c>
      <c r="C122" s="26">
        <f>B122/B130-1</f>
        <v>-6.3566410170625698E-3</v>
      </c>
      <c r="D122" t="s">
        <v>378</v>
      </c>
      <c r="E122" s="15">
        <v>231.96</v>
      </c>
    </row>
    <row r="123" spans="1:5">
      <c r="A123" t="s">
        <v>1634</v>
      </c>
      <c r="B123" s="15">
        <v>30.6</v>
      </c>
      <c r="D123" t="s">
        <v>379</v>
      </c>
      <c r="E123" s="15">
        <v>231.42928583099999</v>
      </c>
    </row>
    <row r="124" spans="1:5">
      <c r="A124" t="s">
        <v>1635</v>
      </c>
      <c r="B124" s="15">
        <v>29.7</v>
      </c>
      <c r="D124" t="s">
        <v>380</v>
      </c>
      <c r="E124" s="15">
        <v>42503138</v>
      </c>
    </row>
    <row r="125" spans="1:5">
      <c r="A125" t="s">
        <v>1636</v>
      </c>
      <c r="B125" s="15">
        <v>30.04</v>
      </c>
      <c r="D125" t="s">
        <v>381</v>
      </c>
      <c r="E125" s="15">
        <v>0</v>
      </c>
    </row>
    <row r="126" spans="1:5">
      <c r="A126" t="s">
        <v>1637</v>
      </c>
      <c r="B126" s="15">
        <v>2720</v>
      </c>
      <c r="D126" t="s">
        <v>382</v>
      </c>
      <c r="E126" s="15">
        <v>1</v>
      </c>
    </row>
    <row r="127" spans="1:5">
      <c r="A127" t="s">
        <v>1638</v>
      </c>
      <c r="B127" s="15">
        <v>29.99</v>
      </c>
      <c r="D127" t="s">
        <v>383</v>
      </c>
      <c r="E127" s="15">
        <v>235.61</v>
      </c>
    </row>
    <row r="128" spans="1:5">
      <c r="A128" t="s">
        <v>1639</v>
      </c>
      <c r="B128" s="15">
        <v>30.02</v>
      </c>
      <c r="D128" t="s">
        <v>384</v>
      </c>
      <c r="E128" s="15">
        <v>242.64</v>
      </c>
    </row>
    <row r="129" spans="1:5">
      <c r="A129" t="s">
        <v>1640</v>
      </c>
      <c r="B129" s="15">
        <v>29.51</v>
      </c>
      <c r="D129" t="s">
        <v>385</v>
      </c>
      <c r="E129" s="15">
        <v>235.09</v>
      </c>
    </row>
    <row r="130" spans="1:5">
      <c r="A130" t="s">
        <v>1641</v>
      </c>
      <c r="B130" s="15">
        <v>29.89</v>
      </c>
      <c r="C130" s="26">
        <f>B130/B138-1</f>
        <v>6.6956812855711867E-4</v>
      </c>
      <c r="D130" t="s">
        <v>386</v>
      </c>
      <c r="E130" s="15">
        <v>238.93</v>
      </c>
    </row>
    <row r="131" spans="1:5">
      <c r="A131" t="s">
        <v>1642</v>
      </c>
      <c r="B131" s="15">
        <v>3015</v>
      </c>
      <c r="D131" t="s">
        <v>387</v>
      </c>
      <c r="E131" s="15">
        <v>238.38333878099999</v>
      </c>
    </row>
    <row r="132" spans="1:5">
      <c r="A132" t="s">
        <v>1593</v>
      </c>
      <c r="B132" s="15">
        <v>29.92</v>
      </c>
      <c r="D132" t="s">
        <v>388</v>
      </c>
      <c r="E132" s="15">
        <v>49111159</v>
      </c>
    </row>
    <row r="133" spans="1:5">
      <c r="A133" t="s">
        <v>1594</v>
      </c>
      <c r="B133" s="15">
        <v>31</v>
      </c>
      <c r="D133" t="s">
        <v>389</v>
      </c>
      <c r="E133" s="15">
        <v>0</v>
      </c>
    </row>
    <row r="134" spans="1:5">
      <c r="A134" t="s">
        <v>1595</v>
      </c>
      <c r="B134" s="15">
        <v>29.92</v>
      </c>
      <c r="D134" t="s">
        <v>390</v>
      </c>
      <c r="E134" s="15">
        <v>1</v>
      </c>
    </row>
    <row r="135" spans="1:5">
      <c r="A135" t="s">
        <v>1596</v>
      </c>
      <c r="B135" s="15">
        <v>30.16</v>
      </c>
      <c r="D135" t="s">
        <v>391</v>
      </c>
      <c r="E135" s="15">
        <v>238</v>
      </c>
    </row>
    <row r="136" spans="1:5">
      <c r="A136" t="s">
        <v>1597</v>
      </c>
      <c r="B136" s="15">
        <v>2460</v>
      </c>
      <c r="D136" t="s">
        <v>392</v>
      </c>
      <c r="E136" s="15">
        <v>240.44</v>
      </c>
    </row>
    <row r="137" spans="1:5">
      <c r="A137" t="s">
        <v>1598</v>
      </c>
      <c r="B137" s="15">
        <v>29.87</v>
      </c>
      <c r="D137" t="s">
        <v>393</v>
      </c>
      <c r="E137" s="15">
        <v>230.14</v>
      </c>
    </row>
    <row r="138" spans="1:5">
      <c r="A138" t="s">
        <v>1599</v>
      </c>
      <c r="B138" s="15">
        <v>29.87</v>
      </c>
      <c r="C138" s="26">
        <f>B138/B146-1</f>
        <v>-0.98383658008658004</v>
      </c>
      <c r="D138" t="s">
        <v>394</v>
      </c>
      <c r="E138" s="15">
        <v>232.9</v>
      </c>
    </row>
    <row r="139" spans="1:5">
      <c r="A139" t="s">
        <v>1600</v>
      </c>
      <c r="B139" s="15">
        <v>29.25</v>
      </c>
      <c r="D139" t="s">
        <v>395</v>
      </c>
      <c r="E139" s="15">
        <v>232.36713515299999</v>
      </c>
    </row>
    <row r="140" spans="1:5">
      <c r="A140" t="s">
        <v>1601</v>
      </c>
      <c r="B140" s="15">
        <v>29.36</v>
      </c>
      <c r="D140" t="s">
        <v>396</v>
      </c>
      <c r="E140" s="15">
        <v>69870638</v>
      </c>
    </row>
    <row r="141" spans="1:5">
      <c r="A141" t="s">
        <v>1602</v>
      </c>
      <c r="B141" s="15">
        <v>7502</v>
      </c>
      <c r="D141" t="s">
        <v>397</v>
      </c>
      <c r="E141" s="15">
        <v>0</v>
      </c>
    </row>
    <row r="142" spans="1:5">
      <c r="A142" t="s">
        <v>1603</v>
      </c>
      <c r="B142" s="15">
        <v>30.5</v>
      </c>
      <c r="D142" t="s">
        <v>398</v>
      </c>
      <c r="E142" s="15">
        <v>1</v>
      </c>
    </row>
    <row r="143" spans="1:5">
      <c r="A143" t="s">
        <v>1604</v>
      </c>
      <c r="B143" s="15">
        <v>30.5</v>
      </c>
      <c r="D143" t="s">
        <v>399</v>
      </c>
      <c r="E143" s="15">
        <v>231.86</v>
      </c>
    </row>
    <row r="144" spans="1:5">
      <c r="A144" t="s">
        <v>1605</v>
      </c>
      <c r="B144" s="15">
        <v>29.9</v>
      </c>
      <c r="D144" t="s">
        <v>400</v>
      </c>
      <c r="E144" s="15">
        <v>234.18</v>
      </c>
    </row>
    <row r="145" spans="1:5">
      <c r="A145" t="s">
        <v>1606</v>
      </c>
      <c r="B145" s="15">
        <v>30.06</v>
      </c>
      <c r="D145" t="s">
        <v>401</v>
      </c>
      <c r="E145" s="15">
        <v>230.08</v>
      </c>
    </row>
    <row r="146" spans="1:5">
      <c r="A146" t="s">
        <v>1607</v>
      </c>
      <c r="B146" s="15">
        <v>1848</v>
      </c>
      <c r="C146" s="26">
        <f>B146/B154-1</f>
        <v>62.812154696132595</v>
      </c>
      <c r="D146" t="s">
        <v>402</v>
      </c>
      <c r="E146" s="15">
        <v>232.33</v>
      </c>
    </row>
    <row r="147" spans="1:5">
      <c r="A147" t="s">
        <v>1608</v>
      </c>
      <c r="B147" s="15">
        <v>30.42</v>
      </c>
      <c r="D147" t="s">
        <v>403</v>
      </c>
      <c r="E147" s="15">
        <v>231.79843928700001</v>
      </c>
    </row>
    <row r="148" spans="1:5">
      <c r="A148" t="s">
        <v>1609</v>
      </c>
      <c r="B148" s="15">
        <v>31.12</v>
      </c>
      <c r="D148" t="s">
        <v>404</v>
      </c>
      <c r="E148" s="15">
        <v>49169601</v>
      </c>
    </row>
    <row r="149" spans="1:5">
      <c r="A149" t="s">
        <v>1610</v>
      </c>
      <c r="B149" s="15">
        <v>30</v>
      </c>
      <c r="D149" t="s">
        <v>405</v>
      </c>
      <c r="E149" s="15">
        <v>0</v>
      </c>
    </row>
    <row r="150" spans="1:5">
      <c r="A150" t="s">
        <v>1611</v>
      </c>
      <c r="B150" s="15">
        <v>30.03</v>
      </c>
      <c r="D150" t="s">
        <v>406</v>
      </c>
      <c r="E150" s="15">
        <v>1</v>
      </c>
    </row>
    <row r="151" spans="1:5">
      <c r="A151" t="s">
        <v>1612</v>
      </c>
      <c r="B151" s="15">
        <v>2787</v>
      </c>
      <c r="D151" t="s">
        <v>407</v>
      </c>
      <c r="E151" s="15">
        <v>229.12</v>
      </c>
    </row>
    <row r="152" spans="1:5">
      <c r="A152" t="s">
        <v>1613</v>
      </c>
      <c r="B152" s="15">
        <v>29.1</v>
      </c>
      <c r="D152" t="s">
        <v>408</v>
      </c>
      <c r="E152" s="15">
        <v>229.78</v>
      </c>
    </row>
    <row r="153" spans="1:5">
      <c r="A153" t="s">
        <v>1614</v>
      </c>
      <c r="B153" s="15">
        <v>30.39</v>
      </c>
      <c r="D153" t="s">
        <v>409</v>
      </c>
      <c r="E153" s="15">
        <v>224.22</v>
      </c>
    </row>
    <row r="154" spans="1:5">
      <c r="A154" t="s">
        <v>1615</v>
      </c>
      <c r="B154" s="15">
        <v>28.96</v>
      </c>
      <c r="C154" s="26">
        <f>B154/B162-1</f>
        <v>-3.0789825970548801E-2</v>
      </c>
      <c r="D154" t="s">
        <v>410</v>
      </c>
      <c r="E154" s="15">
        <v>229.53</v>
      </c>
    </row>
    <row r="155" spans="1:5">
      <c r="A155" t="s">
        <v>1616</v>
      </c>
      <c r="B155" s="15">
        <v>30.39</v>
      </c>
      <c r="D155" t="s">
        <v>411</v>
      </c>
      <c r="E155" s="15">
        <v>229.004845563</v>
      </c>
    </row>
    <row r="156" spans="1:5">
      <c r="A156" t="s">
        <v>1617</v>
      </c>
      <c r="B156" s="15">
        <v>4535</v>
      </c>
      <c r="D156" t="s">
        <v>412</v>
      </c>
      <c r="E156" s="15">
        <v>33152095</v>
      </c>
    </row>
    <row r="157" spans="1:5">
      <c r="A157" t="s">
        <v>1568</v>
      </c>
      <c r="B157" s="15">
        <v>30.04</v>
      </c>
      <c r="D157" t="s">
        <v>413</v>
      </c>
      <c r="E157" s="15">
        <v>0</v>
      </c>
    </row>
    <row r="158" spans="1:5">
      <c r="A158" t="s">
        <v>1569</v>
      </c>
      <c r="B158" s="15">
        <v>30.18</v>
      </c>
      <c r="D158" t="s">
        <v>414</v>
      </c>
      <c r="E158" s="15">
        <v>1</v>
      </c>
    </row>
    <row r="159" spans="1:5">
      <c r="A159" t="s">
        <v>1570</v>
      </c>
      <c r="B159" s="15">
        <v>29.29</v>
      </c>
      <c r="D159" t="s">
        <v>415</v>
      </c>
      <c r="E159" s="15">
        <v>227.08</v>
      </c>
    </row>
    <row r="160" spans="1:5">
      <c r="A160" t="s">
        <v>1571</v>
      </c>
      <c r="B160" s="15">
        <v>29.63</v>
      </c>
      <c r="D160" t="s">
        <v>416</v>
      </c>
      <c r="E160" s="15">
        <v>230.07</v>
      </c>
    </row>
    <row r="161" spans="1:5">
      <c r="A161" t="s">
        <v>1572</v>
      </c>
      <c r="B161" s="15">
        <v>4359</v>
      </c>
      <c r="D161" t="s">
        <v>417</v>
      </c>
      <c r="E161" s="15">
        <v>225.8</v>
      </c>
    </row>
    <row r="162" spans="1:5">
      <c r="A162" t="s">
        <v>1573</v>
      </c>
      <c r="B162" s="15">
        <v>29.88</v>
      </c>
      <c r="C162" s="26">
        <f>B162/B170-1</f>
        <v>4.7074646940148401E-3</v>
      </c>
      <c r="D162" t="s">
        <v>418</v>
      </c>
      <c r="E162" s="15">
        <v>225.95</v>
      </c>
    </row>
    <row r="163" spans="1:5">
      <c r="A163" t="s">
        <v>1574</v>
      </c>
      <c r="B163" s="15">
        <v>30.17</v>
      </c>
      <c r="D163" t="s">
        <v>419</v>
      </c>
      <c r="E163" s="15">
        <v>225.43303644400001</v>
      </c>
    </row>
    <row r="164" spans="1:5">
      <c r="A164" t="s">
        <v>1575</v>
      </c>
      <c r="B164" s="15">
        <v>29.67</v>
      </c>
      <c r="D164" t="s">
        <v>420</v>
      </c>
      <c r="E164" s="15">
        <v>30172663</v>
      </c>
    </row>
    <row r="165" spans="1:5">
      <c r="A165" t="s">
        <v>1576</v>
      </c>
      <c r="B165" s="15">
        <v>30.03</v>
      </c>
      <c r="D165" t="s">
        <v>421</v>
      </c>
      <c r="E165" s="15">
        <v>0</v>
      </c>
    </row>
    <row r="166" spans="1:5">
      <c r="A166" t="s">
        <v>1577</v>
      </c>
      <c r="B166" s="15">
        <v>1376</v>
      </c>
      <c r="D166" t="s">
        <v>422</v>
      </c>
      <c r="E166" s="15">
        <v>1</v>
      </c>
    </row>
    <row r="167" spans="1:5">
      <c r="A167" t="s">
        <v>1578</v>
      </c>
      <c r="B167" s="15">
        <v>29.86</v>
      </c>
      <c r="D167" t="s">
        <v>423</v>
      </c>
      <c r="E167" s="15">
        <v>224.7</v>
      </c>
    </row>
    <row r="168" spans="1:5">
      <c r="A168" t="s">
        <v>1579</v>
      </c>
      <c r="B168" s="15">
        <v>29.88</v>
      </c>
      <c r="D168" t="s">
        <v>424</v>
      </c>
      <c r="E168" s="15">
        <v>226.3</v>
      </c>
    </row>
    <row r="169" spans="1:5">
      <c r="A169" t="s">
        <v>1580</v>
      </c>
      <c r="B169" s="15">
        <v>29.31</v>
      </c>
      <c r="D169" t="s">
        <v>425</v>
      </c>
      <c r="E169" s="15">
        <v>222.42</v>
      </c>
    </row>
    <row r="170" spans="1:5">
      <c r="A170" t="s">
        <v>1581</v>
      </c>
      <c r="B170" s="15">
        <v>29.74</v>
      </c>
      <c r="C170" s="26">
        <f>B170/B178-1</f>
        <v>-5.316778096147734E-2</v>
      </c>
      <c r="D170" t="s">
        <v>426</v>
      </c>
      <c r="E170" s="15">
        <v>224.97</v>
      </c>
    </row>
    <row r="171" spans="1:5">
      <c r="A171" t="s">
        <v>1582</v>
      </c>
      <c r="B171" s="15">
        <v>9913</v>
      </c>
      <c r="D171" t="s">
        <v>427</v>
      </c>
      <c r="E171" s="15">
        <v>224.45527863999999</v>
      </c>
    </row>
    <row r="172" spans="1:5">
      <c r="A172" t="s">
        <v>1583</v>
      </c>
      <c r="B172" s="15">
        <v>29.42</v>
      </c>
      <c r="D172" t="s">
        <v>428</v>
      </c>
      <c r="E172" s="15">
        <v>30749553</v>
      </c>
    </row>
    <row r="173" spans="1:5">
      <c r="A173" t="s">
        <v>1584</v>
      </c>
      <c r="B173" s="15">
        <v>30.13</v>
      </c>
      <c r="D173" t="s">
        <v>429</v>
      </c>
      <c r="E173" s="15">
        <v>0</v>
      </c>
    </row>
    <row r="174" spans="1:5">
      <c r="A174" t="s">
        <v>1585</v>
      </c>
      <c r="B174" s="15">
        <v>29.24</v>
      </c>
      <c r="D174" t="s">
        <v>430</v>
      </c>
      <c r="E174" s="15">
        <v>1</v>
      </c>
    </row>
    <row r="175" spans="1:5">
      <c r="A175" t="s">
        <v>1586</v>
      </c>
      <c r="B175" s="15">
        <v>30.07</v>
      </c>
      <c r="D175" t="s">
        <v>431</v>
      </c>
      <c r="E175" s="15">
        <v>217.7</v>
      </c>
    </row>
    <row r="176" spans="1:5">
      <c r="A176" t="s">
        <v>1587</v>
      </c>
      <c r="B176" s="15">
        <v>7307</v>
      </c>
      <c r="D176" t="s">
        <v>432</v>
      </c>
      <c r="E176" s="15">
        <v>225.79</v>
      </c>
    </row>
    <row r="177" spans="1:5">
      <c r="A177" t="s">
        <v>1588</v>
      </c>
      <c r="B177" s="15">
        <v>31.41</v>
      </c>
      <c r="D177" t="s">
        <v>433</v>
      </c>
      <c r="E177" s="15">
        <v>217.29079999999999</v>
      </c>
    </row>
    <row r="178" spans="1:5">
      <c r="A178" t="s">
        <v>1589</v>
      </c>
      <c r="B178" s="15">
        <v>31.41</v>
      </c>
      <c r="C178" s="26">
        <f>B178/B186-1</f>
        <v>-0.98759968416896959</v>
      </c>
      <c r="D178" t="s">
        <v>434</v>
      </c>
      <c r="E178" s="15">
        <v>224.34</v>
      </c>
    </row>
    <row r="179" spans="1:5">
      <c r="A179" t="s">
        <v>1590</v>
      </c>
      <c r="B179" s="15">
        <v>29.43</v>
      </c>
      <c r="D179" t="s">
        <v>435</v>
      </c>
      <c r="E179" s="15">
        <v>223.82672005200001</v>
      </c>
    </row>
    <row r="180" spans="1:5">
      <c r="A180" t="s">
        <v>1591</v>
      </c>
      <c r="B180" s="15">
        <v>29.49</v>
      </c>
      <c r="D180" t="s">
        <v>436</v>
      </c>
      <c r="E180" s="15">
        <v>37777260</v>
      </c>
    </row>
    <row r="181" spans="1:5">
      <c r="A181" t="s">
        <v>1592</v>
      </c>
      <c r="B181" s="15">
        <v>22426</v>
      </c>
      <c r="D181" t="s">
        <v>437</v>
      </c>
      <c r="E181" s="15">
        <v>0</v>
      </c>
    </row>
    <row r="182" spans="1:5">
      <c r="A182" t="s">
        <v>1543</v>
      </c>
      <c r="B182" s="15">
        <v>31.63</v>
      </c>
      <c r="D182" t="s">
        <v>438</v>
      </c>
      <c r="E182" s="15">
        <v>1</v>
      </c>
    </row>
    <row r="183" spans="1:5">
      <c r="A183" t="s">
        <v>1544</v>
      </c>
      <c r="B183" s="15">
        <v>31.98</v>
      </c>
      <c r="D183" t="s">
        <v>439</v>
      </c>
      <c r="E183" s="15">
        <v>213.75</v>
      </c>
    </row>
    <row r="184" spans="1:5">
      <c r="A184" t="s">
        <v>1545</v>
      </c>
      <c r="B184" s="15">
        <v>31.5</v>
      </c>
      <c r="D184" t="s">
        <v>440</v>
      </c>
      <c r="E184" s="15">
        <v>216.98</v>
      </c>
    </row>
    <row r="185" spans="1:5">
      <c r="A185" t="s">
        <v>1546</v>
      </c>
      <c r="B185" s="15">
        <v>31.68</v>
      </c>
      <c r="D185" t="s">
        <v>441</v>
      </c>
      <c r="E185" s="15">
        <v>212.63</v>
      </c>
    </row>
    <row r="186" spans="1:5">
      <c r="A186" t="s">
        <v>1547</v>
      </c>
      <c r="B186" s="15">
        <v>2533</v>
      </c>
      <c r="C186" s="26">
        <f>B186/B194-1</f>
        <v>79.978260869565219</v>
      </c>
      <c r="D186" t="s">
        <v>442</v>
      </c>
      <c r="E186" s="15">
        <v>216.44</v>
      </c>
    </row>
    <row r="187" spans="1:5">
      <c r="A187" t="s">
        <v>1548</v>
      </c>
      <c r="B187" s="15">
        <v>31.37</v>
      </c>
      <c r="D187" t="s">
        <v>443</v>
      </c>
      <c r="E187" s="15">
        <v>215.94479490099999</v>
      </c>
    </row>
    <row r="188" spans="1:5">
      <c r="A188" t="s">
        <v>1549</v>
      </c>
      <c r="B188" s="15">
        <v>32.14</v>
      </c>
      <c r="D188" t="s">
        <v>444</v>
      </c>
      <c r="E188" s="15">
        <v>30480859</v>
      </c>
    </row>
    <row r="189" spans="1:5">
      <c r="A189" t="s">
        <v>1550</v>
      </c>
      <c r="B189" s="15">
        <v>31.2</v>
      </c>
      <c r="D189" t="s">
        <v>445</v>
      </c>
      <c r="E189" s="15">
        <v>0</v>
      </c>
    </row>
    <row r="190" spans="1:5">
      <c r="A190" t="s">
        <v>1551</v>
      </c>
      <c r="B190" s="15">
        <v>31.97</v>
      </c>
      <c r="D190" t="s">
        <v>446</v>
      </c>
      <c r="E190" s="15">
        <v>1</v>
      </c>
    </row>
    <row r="191" spans="1:5">
      <c r="A191" t="s">
        <v>1552</v>
      </c>
      <c r="B191" s="15">
        <v>2482</v>
      </c>
      <c r="D191" t="s">
        <v>447</v>
      </c>
      <c r="E191" s="15">
        <v>213.52</v>
      </c>
    </row>
    <row r="192" spans="1:5">
      <c r="A192" t="s">
        <v>1553</v>
      </c>
      <c r="B192" s="15">
        <v>33.020000000000003</v>
      </c>
      <c r="D192" t="s">
        <v>448</v>
      </c>
      <c r="E192" s="15">
        <v>214.51</v>
      </c>
    </row>
    <row r="193" spans="1:5">
      <c r="A193" t="s">
        <v>1554</v>
      </c>
      <c r="B193" s="15">
        <v>33.020000000000003</v>
      </c>
      <c r="D193" t="s">
        <v>449</v>
      </c>
      <c r="E193" s="15">
        <v>212.03</v>
      </c>
    </row>
    <row r="194" spans="1:5">
      <c r="A194" t="s">
        <v>1555</v>
      </c>
      <c r="B194" s="15">
        <v>31.28</v>
      </c>
      <c r="C194" s="26">
        <f>B194/B202-1</f>
        <v>-4.6050625190606875E-2</v>
      </c>
      <c r="D194" t="s">
        <v>450</v>
      </c>
      <c r="E194" s="15">
        <v>212.65</v>
      </c>
    </row>
    <row r="195" spans="1:5">
      <c r="A195" t="s">
        <v>1556</v>
      </c>
      <c r="B195" s="15">
        <v>31.48</v>
      </c>
      <c r="D195" t="s">
        <v>451</v>
      </c>
      <c r="E195" s="15">
        <v>212.163466253</v>
      </c>
    </row>
    <row r="196" spans="1:5">
      <c r="A196" t="s">
        <v>1557</v>
      </c>
      <c r="B196" s="15">
        <v>3677</v>
      </c>
      <c r="D196" t="s">
        <v>452</v>
      </c>
      <c r="E196" s="15">
        <v>31746512</v>
      </c>
    </row>
    <row r="197" spans="1:5">
      <c r="A197" t="s">
        <v>1558</v>
      </c>
      <c r="B197" s="15">
        <v>32.479999999999997</v>
      </c>
      <c r="D197" t="s">
        <v>453</v>
      </c>
      <c r="E197" s="15">
        <v>0</v>
      </c>
    </row>
    <row r="198" spans="1:5">
      <c r="A198" t="s">
        <v>1559</v>
      </c>
      <c r="B198" s="15">
        <v>33.03</v>
      </c>
      <c r="D198" t="s">
        <v>454</v>
      </c>
      <c r="E198" s="15">
        <v>1</v>
      </c>
    </row>
    <row r="199" spans="1:5">
      <c r="A199" t="s">
        <v>1560</v>
      </c>
      <c r="B199" s="15">
        <v>32.299999999999997</v>
      </c>
      <c r="D199" t="s">
        <v>455</v>
      </c>
      <c r="E199" s="15">
        <v>215.91</v>
      </c>
    </row>
    <row r="200" spans="1:5">
      <c r="A200" t="s">
        <v>1561</v>
      </c>
      <c r="B200" s="15">
        <v>33.03</v>
      </c>
      <c r="D200" t="s">
        <v>456</v>
      </c>
      <c r="E200" s="15">
        <v>217.46</v>
      </c>
    </row>
    <row r="201" spans="1:5">
      <c r="A201" t="s">
        <v>1562</v>
      </c>
      <c r="B201" s="15">
        <v>7683</v>
      </c>
      <c r="D201" t="s">
        <v>457</v>
      </c>
      <c r="E201" s="15">
        <v>212.74</v>
      </c>
    </row>
    <row r="202" spans="1:5">
      <c r="A202" t="s">
        <v>1563</v>
      </c>
      <c r="B202" s="15">
        <v>32.79</v>
      </c>
      <c r="C202" s="26">
        <f>B202/B210-1</f>
        <v>8.9230769230768114E-3</v>
      </c>
      <c r="D202" t="s">
        <v>458</v>
      </c>
      <c r="E202" s="15">
        <v>213.02</v>
      </c>
    </row>
    <row r="203" spans="1:5">
      <c r="A203" t="s">
        <v>1564</v>
      </c>
      <c r="B203" s="15">
        <v>32.79</v>
      </c>
      <c r="D203" t="s">
        <v>459</v>
      </c>
      <c r="E203" s="15">
        <v>212.53261970899999</v>
      </c>
    </row>
    <row r="204" spans="1:5">
      <c r="A204" t="s">
        <v>1565</v>
      </c>
      <c r="B204" s="15">
        <v>32.19</v>
      </c>
      <c r="D204" t="s">
        <v>460</v>
      </c>
      <c r="E204" s="15">
        <v>29346737</v>
      </c>
    </row>
    <row r="205" spans="1:5">
      <c r="A205" t="s">
        <v>1566</v>
      </c>
      <c r="B205" s="15">
        <v>32.479999999999997</v>
      </c>
      <c r="D205" t="s">
        <v>461</v>
      </c>
      <c r="E205" s="15">
        <v>0</v>
      </c>
    </row>
    <row r="206" spans="1:5">
      <c r="A206" t="s">
        <v>1567</v>
      </c>
      <c r="B206" s="15">
        <v>1044</v>
      </c>
      <c r="D206" t="s">
        <v>462</v>
      </c>
      <c r="E206" s="15">
        <v>1</v>
      </c>
    </row>
    <row r="207" spans="1:5">
      <c r="A207" t="s">
        <v>1516</v>
      </c>
      <c r="B207" s="15">
        <v>32.200000000000003</v>
      </c>
      <c r="D207" t="s">
        <v>463</v>
      </c>
      <c r="E207" s="15">
        <v>214.02</v>
      </c>
    </row>
    <row r="208" spans="1:5">
      <c r="A208" t="s">
        <v>1517</v>
      </c>
      <c r="B208" s="15">
        <v>32.5</v>
      </c>
      <c r="D208" t="s">
        <v>464</v>
      </c>
      <c r="E208" s="15">
        <v>216.76</v>
      </c>
    </row>
    <row r="209" spans="1:5">
      <c r="A209" t="s">
        <v>1518</v>
      </c>
      <c r="B209" s="15">
        <v>31.97</v>
      </c>
      <c r="D209" t="s">
        <v>465</v>
      </c>
      <c r="E209" s="15">
        <v>213.92660000000001</v>
      </c>
    </row>
    <row r="210" spans="1:5">
      <c r="A210" t="s">
        <v>1519</v>
      </c>
      <c r="B210" s="15">
        <v>32.5</v>
      </c>
      <c r="C210" s="26">
        <f>B210/B218-1</f>
        <v>-1.0955569080949412E-2</v>
      </c>
      <c r="D210" t="s">
        <v>466</v>
      </c>
      <c r="E210" s="15">
        <v>216.34</v>
      </c>
    </row>
    <row r="211" spans="1:5">
      <c r="A211" t="s">
        <v>1520</v>
      </c>
      <c r="B211" s="15">
        <v>1947</v>
      </c>
      <c r="D211" t="s">
        <v>467</v>
      </c>
      <c r="E211" s="15">
        <v>215.84502369699999</v>
      </c>
    </row>
    <row r="212" spans="1:5">
      <c r="A212" t="s">
        <v>1521</v>
      </c>
      <c r="B212" s="15">
        <v>33.1</v>
      </c>
      <c r="D212" t="s">
        <v>468</v>
      </c>
      <c r="E212" s="15">
        <v>20087080</v>
      </c>
    </row>
    <row r="213" spans="1:5">
      <c r="A213" t="s">
        <v>1522</v>
      </c>
      <c r="B213" s="15">
        <v>33.1</v>
      </c>
      <c r="D213" t="s">
        <v>469</v>
      </c>
      <c r="E213" s="15">
        <v>0</v>
      </c>
    </row>
    <row r="214" spans="1:5">
      <c r="A214" t="s">
        <v>1523</v>
      </c>
      <c r="B214" s="15">
        <v>32</v>
      </c>
      <c r="D214" t="s">
        <v>470</v>
      </c>
      <c r="E214" s="15">
        <v>1</v>
      </c>
    </row>
    <row r="215" spans="1:5">
      <c r="A215" t="s">
        <v>1524</v>
      </c>
      <c r="B215" s="15">
        <v>32</v>
      </c>
      <c r="D215" t="s">
        <v>471</v>
      </c>
      <c r="E215" s="15">
        <v>216.5</v>
      </c>
    </row>
    <row r="216" spans="1:5">
      <c r="A216" t="s">
        <v>1525</v>
      </c>
      <c r="B216" s="15">
        <v>7140</v>
      </c>
      <c r="D216" t="s">
        <v>472</v>
      </c>
      <c r="E216" s="15">
        <v>217.1</v>
      </c>
    </row>
    <row r="217" spans="1:5">
      <c r="A217" t="s">
        <v>1526</v>
      </c>
      <c r="B217" s="15">
        <v>32.42</v>
      </c>
      <c r="D217" t="s">
        <v>473</v>
      </c>
      <c r="E217" s="15">
        <v>213.3202</v>
      </c>
    </row>
    <row r="218" spans="1:5">
      <c r="A218" t="s">
        <v>1527</v>
      </c>
      <c r="B218" s="15">
        <v>32.86</v>
      </c>
      <c r="C218" s="26">
        <f>B218/B226-1</f>
        <v>-0.98910116086235489</v>
      </c>
      <c r="D218" t="s">
        <v>474</v>
      </c>
      <c r="E218" s="15">
        <v>214.93</v>
      </c>
    </row>
    <row r="219" spans="1:5">
      <c r="A219" t="s">
        <v>1528</v>
      </c>
      <c r="B219" s="15">
        <v>32</v>
      </c>
      <c r="D219" t="s">
        <v>475</v>
      </c>
      <c r="E219" s="15">
        <v>214.43824971399999</v>
      </c>
    </row>
    <row r="220" spans="1:5">
      <c r="A220" t="s">
        <v>1529</v>
      </c>
      <c r="B220" s="15">
        <v>32.86</v>
      </c>
      <c r="D220" t="s">
        <v>476</v>
      </c>
      <c r="E220" s="15">
        <v>23148341</v>
      </c>
    </row>
    <row r="221" spans="1:5">
      <c r="A221" t="s">
        <v>1530</v>
      </c>
      <c r="B221" s="15">
        <v>610</v>
      </c>
      <c r="D221" t="s">
        <v>477</v>
      </c>
      <c r="E221" s="15">
        <v>0</v>
      </c>
    </row>
    <row r="222" spans="1:5">
      <c r="A222" t="s">
        <v>1531</v>
      </c>
      <c r="B222" s="15">
        <v>33.17</v>
      </c>
      <c r="D222" t="s">
        <v>478</v>
      </c>
      <c r="E222" s="15">
        <v>1</v>
      </c>
    </row>
    <row r="223" spans="1:5">
      <c r="A223" t="s">
        <v>1532</v>
      </c>
      <c r="B223" s="15">
        <v>33.17</v>
      </c>
      <c r="D223" t="s">
        <v>479</v>
      </c>
      <c r="E223" s="15">
        <v>218.47</v>
      </c>
    </row>
    <row r="224" spans="1:5">
      <c r="A224" t="s">
        <v>1533</v>
      </c>
      <c r="B224" s="15">
        <v>32.299999999999997</v>
      </c>
      <c r="D224" t="s">
        <v>480</v>
      </c>
      <c r="E224" s="15">
        <v>218.91</v>
      </c>
    </row>
    <row r="225" spans="1:5">
      <c r="A225" t="s">
        <v>1534</v>
      </c>
      <c r="B225" s="15">
        <v>32.46</v>
      </c>
      <c r="D225" t="s">
        <v>481</v>
      </c>
      <c r="E225" s="15">
        <v>216.73</v>
      </c>
    </row>
    <row r="226" spans="1:5">
      <c r="A226" t="s">
        <v>1535</v>
      </c>
      <c r="B226" s="15">
        <v>3015</v>
      </c>
      <c r="C226" s="26">
        <f>B226/B234-1</f>
        <v>90.864716636197443</v>
      </c>
      <c r="D226" t="s">
        <v>482</v>
      </c>
      <c r="E226" s="15">
        <v>217.49</v>
      </c>
    </row>
    <row r="227" spans="1:5">
      <c r="A227" t="s">
        <v>1536</v>
      </c>
      <c r="B227" s="15">
        <v>33.380000000000003</v>
      </c>
      <c r="D227" t="s">
        <v>483</v>
      </c>
      <c r="E227" s="15">
        <v>216.992392548</v>
      </c>
    </row>
    <row r="228" spans="1:5">
      <c r="A228" t="s">
        <v>1537</v>
      </c>
      <c r="B228" s="15">
        <v>33.68</v>
      </c>
      <c r="D228" t="s">
        <v>484</v>
      </c>
      <c r="E228" s="15">
        <v>23047029</v>
      </c>
    </row>
    <row r="229" spans="1:5">
      <c r="A229" t="s">
        <v>1538</v>
      </c>
      <c r="B229" s="15">
        <v>32.64</v>
      </c>
      <c r="D229" t="s">
        <v>485</v>
      </c>
      <c r="E229" s="15">
        <v>0</v>
      </c>
    </row>
    <row r="230" spans="1:5">
      <c r="A230" t="s">
        <v>1539</v>
      </c>
      <c r="B230" s="15">
        <v>33.130000000000003</v>
      </c>
      <c r="D230" t="s">
        <v>486</v>
      </c>
      <c r="E230" s="15">
        <v>1</v>
      </c>
    </row>
    <row r="231" spans="1:5">
      <c r="A231" t="s">
        <v>1540</v>
      </c>
      <c r="B231" s="15">
        <v>3705</v>
      </c>
      <c r="D231" t="s">
        <v>487</v>
      </c>
      <c r="E231" s="15">
        <v>218.68</v>
      </c>
    </row>
    <row r="232" spans="1:5">
      <c r="A232" t="s">
        <v>1491</v>
      </c>
      <c r="B232" s="15">
        <v>33.56</v>
      </c>
      <c r="D232" t="s">
        <v>488</v>
      </c>
      <c r="E232" s="15">
        <v>220.58</v>
      </c>
    </row>
    <row r="233" spans="1:5">
      <c r="A233" t="s">
        <v>1492</v>
      </c>
      <c r="B233" s="15">
        <v>33.56</v>
      </c>
      <c r="D233" t="s">
        <v>489</v>
      </c>
      <c r="E233" s="15">
        <v>217.02610000000001</v>
      </c>
    </row>
    <row r="234" spans="1:5">
      <c r="A234" t="s">
        <v>1493</v>
      </c>
      <c r="B234" s="15">
        <v>32.82</v>
      </c>
      <c r="C234" s="26">
        <f>B234/B242-1</f>
        <v>-2.1175067104085898E-2</v>
      </c>
      <c r="D234" t="s">
        <v>490</v>
      </c>
      <c r="E234" s="15">
        <v>219.62</v>
      </c>
    </row>
    <row r="235" spans="1:5">
      <c r="A235" t="s">
        <v>1494</v>
      </c>
      <c r="B235" s="15">
        <v>33.200000000000003</v>
      </c>
      <c r="D235" t="s">
        <v>491</v>
      </c>
      <c r="E235" s="15">
        <v>219.11751920200001</v>
      </c>
    </row>
    <row r="236" spans="1:5">
      <c r="A236" t="s">
        <v>1495</v>
      </c>
      <c r="B236" s="15">
        <v>12699</v>
      </c>
      <c r="D236" t="s">
        <v>492</v>
      </c>
      <c r="E236" s="15">
        <v>22956206</v>
      </c>
    </row>
    <row r="237" spans="1:5">
      <c r="A237" t="s">
        <v>1496</v>
      </c>
      <c r="B237" s="15">
        <v>33.979999999999997</v>
      </c>
      <c r="D237" t="s">
        <v>493</v>
      </c>
      <c r="E237" s="15">
        <v>0</v>
      </c>
    </row>
    <row r="238" spans="1:5">
      <c r="A238" t="s">
        <v>1497</v>
      </c>
      <c r="B238" s="15">
        <v>34.159999999999997</v>
      </c>
      <c r="D238" t="s">
        <v>494</v>
      </c>
      <c r="E238" s="15">
        <v>1</v>
      </c>
    </row>
    <row r="239" spans="1:5">
      <c r="A239" t="s">
        <v>1498</v>
      </c>
      <c r="B239" s="15">
        <v>33.25</v>
      </c>
      <c r="D239" t="s">
        <v>495</v>
      </c>
      <c r="E239" s="15">
        <v>214.04</v>
      </c>
    </row>
    <row r="240" spans="1:5">
      <c r="A240" t="s">
        <v>1499</v>
      </c>
      <c r="B240" s="15">
        <v>33.29</v>
      </c>
      <c r="D240" t="s">
        <v>496</v>
      </c>
      <c r="E240" s="15">
        <v>219.34</v>
      </c>
    </row>
    <row r="241" spans="1:5">
      <c r="A241" t="s">
        <v>1500</v>
      </c>
      <c r="B241" s="15">
        <v>964</v>
      </c>
      <c r="D241" t="s">
        <v>497</v>
      </c>
      <c r="E241" s="15">
        <v>213.71</v>
      </c>
    </row>
    <row r="242" spans="1:5">
      <c r="A242" t="s">
        <v>1501</v>
      </c>
      <c r="B242" s="15">
        <v>33.53</v>
      </c>
      <c r="C242" s="26">
        <f>B242/B250-1</f>
        <v>2.0920502092049986E-3</v>
      </c>
      <c r="D242" t="s">
        <v>498</v>
      </c>
      <c r="E242" s="15">
        <v>218.29</v>
      </c>
    </row>
    <row r="243" spans="1:5">
      <c r="A243" t="s">
        <v>1502</v>
      </c>
      <c r="B243" s="15">
        <v>33.97</v>
      </c>
      <c r="D243" t="s">
        <v>499</v>
      </c>
      <c r="E243" s="15">
        <v>217.79056218299999</v>
      </c>
    </row>
    <row r="244" spans="1:5">
      <c r="A244" t="s">
        <v>1503</v>
      </c>
      <c r="B244" s="15">
        <v>33.409999999999997</v>
      </c>
      <c r="D244" t="s">
        <v>500</v>
      </c>
      <c r="E244" s="15">
        <v>27694480</v>
      </c>
    </row>
    <row r="245" spans="1:5">
      <c r="A245" t="s">
        <v>1504</v>
      </c>
      <c r="B245" s="15">
        <v>33.93</v>
      </c>
      <c r="D245" t="s">
        <v>501</v>
      </c>
      <c r="E245" s="15">
        <v>0</v>
      </c>
    </row>
    <row r="246" spans="1:5">
      <c r="A246" t="s">
        <v>1505</v>
      </c>
      <c r="B246" s="15">
        <v>2273</v>
      </c>
      <c r="D246" t="s">
        <v>502</v>
      </c>
      <c r="E246" s="15">
        <v>1</v>
      </c>
    </row>
    <row r="247" spans="1:5">
      <c r="A247" t="s">
        <v>1506</v>
      </c>
      <c r="B247" s="15">
        <v>33.020000000000003</v>
      </c>
      <c r="D247" t="s">
        <v>503</v>
      </c>
      <c r="E247" s="15">
        <v>212.17</v>
      </c>
    </row>
    <row r="248" spans="1:5">
      <c r="A248" t="s">
        <v>1507</v>
      </c>
      <c r="B248" s="15">
        <v>33.619999999999997</v>
      </c>
      <c r="D248" t="s">
        <v>504</v>
      </c>
      <c r="E248" s="15">
        <v>216.48990000000001</v>
      </c>
    </row>
    <row r="249" spans="1:5">
      <c r="A249" t="s">
        <v>1508</v>
      </c>
      <c r="B249" s="15">
        <v>32.840000000000003</v>
      </c>
      <c r="D249" t="s">
        <v>505</v>
      </c>
      <c r="E249" s="15">
        <v>211.94</v>
      </c>
    </row>
    <row r="250" spans="1:5">
      <c r="A250" t="s">
        <v>1509</v>
      </c>
      <c r="B250" s="15">
        <v>33.46</v>
      </c>
      <c r="C250" s="26">
        <f>B250/B258-1</f>
        <v>-2.9877502240804876E-4</v>
      </c>
      <c r="D250" t="s">
        <v>506</v>
      </c>
      <c r="E250" s="15">
        <v>212.25</v>
      </c>
    </row>
    <row r="251" spans="1:5">
      <c r="A251" t="s">
        <v>1510</v>
      </c>
      <c r="B251" s="15">
        <v>3999</v>
      </c>
      <c r="D251" t="s">
        <v>507</v>
      </c>
      <c r="E251" s="15">
        <v>211.76438143499999</v>
      </c>
    </row>
    <row r="252" spans="1:5">
      <c r="A252" t="s">
        <v>1511</v>
      </c>
      <c r="B252" s="15">
        <v>31.96</v>
      </c>
      <c r="D252" t="s">
        <v>508</v>
      </c>
      <c r="E252" s="15">
        <v>35930653</v>
      </c>
    </row>
    <row r="253" spans="1:5">
      <c r="A253" t="s">
        <v>1512</v>
      </c>
      <c r="B253" s="15">
        <v>33.200000000000003</v>
      </c>
      <c r="D253" t="s">
        <v>509</v>
      </c>
      <c r="E253" s="15">
        <v>0</v>
      </c>
    </row>
    <row r="254" spans="1:5">
      <c r="A254" t="s">
        <v>1513</v>
      </c>
      <c r="B254" s="15">
        <v>31.51</v>
      </c>
      <c r="D254" t="s">
        <v>510</v>
      </c>
      <c r="E254" s="15">
        <v>1</v>
      </c>
    </row>
    <row r="255" spans="1:5">
      <c r="A255" t="s">
        <v>1514</v>
      </c>
      <c r="B255" s="15">
        <v>33.19</v>
      </c>
      <c r="D255" t="s">
        <v>511</v>
      </c>
      <c r="E255" s="15">
        <v>217.26</v>
      </c>
    </row>
    <row r="256" spans="1:5">
      <c r="A256" t="s">
        <v>1515</v>
      </c>
      <c r="B256" s="15">
        <v>5425</v>
      </c>
      <c r="D256" t="s">
        <v>512</v>
      </c>
      <c r="E256" s="15">
        <v>218.52</v>
      </c>
    </row>
    <row r="257" spans="1:5">
      <c r="A257" t="s">
        <v>1466</v>
      </c>
      <c r="B257" s="15">
        <v>32.82</v>
      </c>
      <c r="D257" t="s">
        <v>513</v>
      </c>
      <c r="E257" s="15">
        <v>215.7</v>
      </c>
    </row>
    <row r="258" spans="1:5">
      <c r="A258" t="s">
        <v>1467</v>
      </c>
      <c r="B258" s="15">
        <v>33.47</v>
      </c>
      <c r="C258" s="26">
        <f>B258/B266-1</f>
        <v>-0.98861177271180678</v>
      </c>
      <c r="D258" t="s">
        <v>514</v>
      </c>
      <c r="E258" s="15">
        <v>217.9</v>
      </c>
    </row>
    <row r="259" spans="1:5">
      <c r="A259" t="s">
        <v>1468</v>
      </c>
      <c r="B259" s="15">
        <v>31.29</v>
      </c>
      <c r="D259" t="s">
        <v>515</v>
      </c>
      <c r="E259" s="15">
        <v>217.40145448600001</v>
      </c>
    </row>
    <row r="260" spans="1:5">
      <c r="A260" t="s">
        <v>1469</v>
      </c>
      <c r="B260" s="15">
        <v>31.8</v>
      </c>
      <c r="D260" t="s">
        <v>516</v>
      </c>
      <c r="E260" s="15">
        <v>23822953</v>
      </c>
    </row>
    <row r="261" spans="1:5">
      <c r="A261" t="s">
        <v>1470</v>
      </c>
      <c r="B261" s="15">
        <v>6102</v>
      </c>
      <c r="D261" t="s">
        <v>517</v>
      </c>
      <c r="E261" s="15">
        <v>0</v>
      </c>
    </row>
    <row r="262" spans="1:5">
      <c r="A262" t="s">
        <v>1471</v>
      </c>
      <c r="B262" s="15">
        <v>32.56</v>
      </c>
      <c r="D262" t="s">
        <v>518</v>
      </c>
      <c r="E262" s="15">
        <v>1</v>
      </c>
    </row>
    <row r="263" spans="1:5">
      <c r="A263" t="s">
        <v>1472</v>
      </c>
      <c r="B263" s="15">
        <v>33.25</v>
      </c>
      <c r="D263" t="s">
        <v>519</v>
      </c>
      <c r="E263" s="15">
        <v>222.53</v>
      </c>
    </row>
    <row r="264" spans="1:5">
      <c r="A264" t="s">
        <v>1473</v>
      </c>
      <c r="B264" s="15">
        <v>32.549999999999997</v>
      </c>
      <c r="D264" t="s">
        <v>520</v>
      </c>
      <c r="E264" s="15">
        <v>223</v>
      </c>
    </row>
    <row r="265" spans="1:5">
      <c r="A265" t="s">
        <v>1474</v>
      </c>
      <c r="B265" s="15">
        <v>32.549999999999997</v>
      </c>
      <c r="D265" t="s">
        <v>521</v>
      </c>
      <c r="E265" s="15">
        <v>214.81</v>
      </c>
    </row>
    <row r="266" spans="1:5">
      <c r="A266" t="s">
        <v>1475</v>
      </c>
      <c r="B266" s="15">
        <v>2939</v>
      </c>
      <c r="C266" s="26">
        <f>B266/B274-1</f>
        <v>90.557632398753896</v>
      </c>
      <c r="D266" t="s">
        <v>522</v>
      </c>
      <c r="E266" s="15">
        <v>217.69</v>
      </c>
    </row>
    <row r="267" spans="1:5">
      <c r="A267" t="s">
        <v>1476</v>
      </c>
      <c r="B267" s="15">
        <v>32.42</v>
      </c>
      <c r="D267" t="s">
        <v>523</v>
      </c>
      <c r="E267" s="15">
        <v>217.191934957</v>
      </c>
    </row>
    <row r="268" spans="1:5">
      <c r="A268" t="s">
        <v>1477</v>
      </c>
      <c r="B268" s="15">
        <v>32.64</v>
      </c>
      <c r="D268" t="s">
        <v>524</v>
      </c>
      <c r="E268" s="15">
        <v>37130139</v>
      </c>
    </row>
    <row r="269" spans="1:5">
      <c r="A269" t="s">
        <v>1478</v>
      </c>
      <c r="B269" s="15">
        <v>32</v>
      </c>
      <c r="D269" t="s">
        <v>525</v>
      </c>
      <c r="E269" s="15">
        <v>0</v>
      </c>
    </row>
    <row r="270" spans="1:5">
      <c r="A270" t="s">
        <v>1479</v>
      </c>
      <c r="B270" s="15">
        <v>32.64</v>
      </c>
      <c r="D270" t="s">
        <v>526</v>
      </c>
      <c r="E270" s="15">
        <v>1</v>
      </c>
    </row>
    <row r="271" spans="1:5">
      <c r="A271" t="s">
        <v>1480</v>
      </c>
      <c r="B271" s="15">
        <v>2945</v>
      </c>
      <c r="D271" t="s">
        <v>527</v>
      </c>
      <c r="E271" s="15">
        <v>221.7</v>
      </c>
    </row>
    <row r="272" spans="1:5">
      <c r="A272" t="s">
        <v>1481</v>
      </c>
      <c r="B272" s="15">
        <v>33.03</v>
      </c>
      <c r="D272" t="s">
        <v>528</v>
      </c>
      <c r="E272" s="15">
        <v>223</v>
      </c>
    </row>
    <row r="273" spans="1:5">
      <c r="A273" t="s">
        <v>1482</v>
      </c>
      <c r="B273" s="15">
        <v>33.15</v>
      </c>
      <c r="D273" t="s">
        <v>529</v>
      </c>
      <c r="E273" s="15">
        <v>219.68</v>
      </c>
    </row>
    <row r="274" spans="1:5">
      <c r="A274" t="s">
        <v>1483</v>
      </c>
      <c r="B274" s="15">
        <v>32.1</v>
      </c>
      <c r="C274" s="26">
        <f>B274/B282-1</f>
        <v>-5.1698670605612951E-2</v>
      </c>
      <c r="D274" t="s">
        <v>530</v>
      </c>
      <c r="E274" s="15">
        <v>222.42</v>
      </c>
    </row>
    <row r="275" spans="1:5">
      <c r="A275" t="s">
        <v>1484</v>
      </c>
      <c r="B275" s="15">
        <v>32.17</v>
      </c>
      <c r="D275" t="s">
        <v>531</v>
      </c>
      <c r="E275" s="15">
        <v>221.911112927</v>
      </c>
    </row>
    <row r="276" spans="1:5">
      <c r="A276" t="s">
        <v>1485</v>
      </c>
      <c r="B276" s="15">
        <v>3194</v>
      </c>
      <c r="D276" t="s">
        <v>532</v>
      </c>
      <c r="E276" s="15">
        <v>20942132</v>
      </c>
    </row>
    <row r="277" spans="1:5">
      <c r="A277" t="s">
        <v>1486</v>
      </c>
      <c r="B277" s="15">
        <v>33.630000000000003</v>
      </c>
      <c r="D277" t="s">
        <v>533</v>
      </c>
      <c r="E277" s="15">
        <v>0</v>
      </c>
    </row>
    <row r="278" spans="1:5">
      <c r="A278" t="s">
        <v>1487</v>
      </c>
      <c r="B278" s="15">
        <v>33.630000000000003</v>
      </c>
      <c r="D278" t="s">
        <v>534</v>
      </c>
      <c r="E278" s="15">
        <v>1</v>
      </c>
    </row>
    <row r="279" spans="1:5">
      <c r="A279" t="s">
        <v>1488</v>
      </c>
      <c r="B279" s="15">
        <v>32.99</v>
      </c>
      <c r="D279" t="s">
        <v>535</v>
      </c>
      <c r="E279" s="15">
        <v>225.23</v>
      </c>
    </row>
    <row r="280" spans="1:5">
      <c r="A280" t="s">
        <v>1489</v>
      </c>
      <c r="B280" s="15">
        <v>33.24</v>
      </c>
      <c r="D280" t="s">
        <v>536</v>
      </c>
      <c r="E280" s="15">
        <v>225.63</v>
      </c>
    </row>
    <row r="281" spans="1:5">
      <c r="A281" t="s">
        <v>1490</v>
      </c>
      <c r="B281" s="15">
        <v>2750</v>
      </c>
      <c r="D281" t="s">
        <v>537</v>
      </c>
      <c r="E281" s="15">
        <v>221.47</v>
      </c>
    </row>
    <row r="282" spans="1:5">
      <c r="A282" t="s">
        <v>1441</v>
      </c>
      <c r="B282" s="15">
        <v>33.85</v>
      </c>
      <c r="C282" s="26">
        <f>B282/B290-1</f>
        <v>-4.4117647058823373E-3</v>
      </c>
      <c r="D282" t="s">
        <v>538</v>
      </c>
      <c r="E282" s="15">
        <v>221.68</v>
      </c>
    </row>
    <row r="283" spans="1:5">
      <c r="A283" t="s">
        <v>1442</v>
      </c>
      <c r="B283" s="15">
        <v>33.85</v>
      </c>
      <c r="D283" t="s">
        <v>539</v>
      </c>
      <c r="E283" s="15">
        <v>221.172806014</v>
      </c>
    </row>
    <row r="284" spans="1:5">
      <c r="A284" t="s">
        <v>1443</v>
      </c>
      <c r="B284" s="15">
        <v>33.17</v>
      </c>
      <c r="D284" t="s">
        <v>540</v>
      </c>
      <c r="E284" s="15">
        <v>20272337</v>
      </c>
    </row>
    <row r="285" spans="1:5">
      <c r="A285" t="s">
        <v>1444</v>
      </c>
      <c r="B285" s="15">
        <v>33.17</v>
      </c>
      <c r="D285" t="s">
        <v>541</v>
      </c>
      <c r="E285" s="15">
        <v>0</v>
      </c>
    </row>
    <row r="286" spans="1:5">
      <c r="A286" t="s">
        <v>1445</v>
      </c>
      <c r="B286" s="15">
        <v>4172</v>
      </c>
      <c r="D286" t="s">
        <v>542</v>
      </c>
      <c r="E286" s="15">
        <v>1</v>
      </c>
    </row>
    <row r="287" spans="1:5">
      <c r="A287" t="s">
        <v>1446</v>
      </c>
      <c r="B287" s="15">
        <v>35.1</v>
      </c>
      <c r="D287" t="s">
        <v>543</v>
      </c>
      <c r="E287" s="15">
        <v>226.31</v>
      </c>
    </row>
    <row r="288" spans="1:5">
      <c r="A288" t="s">
        <v>1447</v>
      </c>
      <c r="B288" s="15">
        <v>35.29</v>
      </c>
      <c r="D288" t="s">
        <v>544</v>
      </c>
      <c r="E288" s="15">
        <v>227.18</v>
      </c>
    </row>
    <row r="289" spans="1:5">
      <c r="A289" t="s">
        <v>1448</v>
      </c>
      <c r="B289" s="15">
        <v>33.72</v>
      </c>
      <c r="D289" t="s">
        <v>545</v>
      </c>
      <c r="E289" s="15">
        <v>223.58</v>
      </c>
    </row>
    <row r="290" spans="1:5">
      <c r="A290" t="s">
        <v>1449</v>
      </c>
      <c r="B290" s="15">
        <v>34</v>
      </c>
      <c r="C290" s="26">
        <f>B290/B298-1</f>
        <v>-2.8571428571428581E-2</v>
      </c>
      <c r="D290" t="s">
        <v>546</v>
      </c>
      <c r="E290" s="15">
        <v>224.15</v>
      </c>
    </row>
    <row r="291" spans="1:5">
      <c r="A291" t="s">
        <v>1450</v>
      </c>
      <c r="B291" s="15">
        <v>10694</v>
      </c>
      <c r="D291" t="s">
        <v>547</v>
      </c>
      <c r="E291" s="15">
        <v>223.637154764</v>
      </c>
    </row>
    <row r="292" spans="1:5">
      <c r="A292" t="s">
        <v>1451</v>
      </c>
      <c r="B292" s="15">
        <v>34.94</v>
      </c>
      <c r="D292" t="s">
        <v>548</v>
      </c>
      <c r="E292" s="15">
        <v>17403213</v>
      </c>
    </row>
    <row r="293" spans="1:5">
      <c r="A293" t="s">
        <v>1452</v>
      </c>
      <c r="B293" s="15">
        <v>35.25</v>
      </c>
      <c r="D293" t="s">
        <v>549</v>
      </c>
      <c r="E293" s="15">
        <v>0</v>
      </c>
    </row>
    <row r="294" spans="1:5">
      <c r="A294" t="s">
        <v>1453</v>
      </c>
      <c r="B294" s="15">
        <v>34.15</v>
      </c>
      <c r="D294" t="s">
        <v>550</v>
      </c>
      <c r="E294" s="15">
        <v>1</v>
      </c>
    </row>
    <row r="295" spans="1:5">
      <c r="A295" t="s">
        <v>1454</v>
      </c>
      <c r="B295" s="15">
        <v>34.61</v>
      </c>
      <c r="D295" t="s">
        <v>551</v>
      </c>
      <c r="E295" s="15">
        <v>224.45</v>
      </c>
    </row>
    <row r="296" spans="1:5">
      <c r="A296" t="s">
        <v>1455</v>
      </c>
      <c r="B296" s="15">
        <v>6343</v>
      </c>
      <c r="D296" t="s">
        <v>552</v>
      </c>
      <c r="E296" s="15">
        <v>226.03</v>
      </c>
    </row>
    <row r="297" spans="1:5">
      <c r="A297" t="s">
        <v>1456</v>
      </c>
      <c r="B297" s="15">
        <v>32.549999999999997</v>
      </c>
      <c r="D297" t="s">
        <v>553</v>
      </c>
      <c r="E297" s="15">
        <v>223.02</v>
      </c>
    </row>
    <row r="298" spans="1:5">
      <c r="A298" t="s">
        <v>1457</v>
      </c>
      <c r="B298" s="15">
        <v>35</v>
      </c>
      <c r="C298" s="26">
        <f>B298/B306-1</f>
        <v>-0.99441608168474793</v>
      </c>
      <c r="D298" t="s">
        <v>554</v>
      </c>
      <c r="E298" s="15">
        <v>224.96</v>
      </c>
    </row>
    <row r="299" spans="1:5">
      <c r="A299" t="s">
        <v>1458</v>
      </c>
      <c r="B299" s="15">
        <v>32.549999999999997</v>
      </c>
      <c r="D299" t="s">
        <v>555</v>
      </c>
      <c r="E299" s="15">
        <v>224.44530151999999</v>
      </c>
    </row>
    <row r="300" spans="1:5">
      <c r="A300" t="s">
        <v>1459</v>
      </c>
      <c r="B300" s="15">
        <v>34.76</v>
      </c>
      <c r="D300" t="s">
        <v>556</v>
      </c>
      <c r="E300" s="15">
        <v>17762701</v>
      </c>
    </row>
    <row r="301" spans="1:5">
      <c r="A301" t="s">
        <v>1460</v>
      </c>
      <c r="B301" s="15">
        <v>7463</v>
      </c>
      <c r="D301" t="s">
        <v>557</v>
      </c>
      <c r="E301" s="15">
        <v>0</v>
      </c>
    </row>
    <row r="302" spans="1:5">
      <c r="A302" t="s">
        <v>1461</v>
      </c>
      <c r="B302" s="15">
        <v>32.56</v>
      </c>
      <c r="D302" t="s">
        <v>558</v>
      </c>
      <c r="E302" s="15">
        <v>1</v>
      </c>
    </row>
    <row r="303" spans="1:5">
      <c r="A303" t="s">
        <v>1462</v>
      </c>
      <c r="B303" s="15">
        <v>33.340000000000003</v>
      </c>
      <c r="D303" t="s">
        <v>559</v>
      </c>
      <c r="E303" s="15">
        <v>221.42</v>
      </c>
    </row>
    <row r="304" spans="1:5">
      <c r="A304" t="s">
        <v>1463</v>
      </c>
      <c r="B304" s="15">
        <v>32.56</v>
      </c>
      <c r="D304" t="s">
        <v>560</v>
      </c>
      <c r="E304" s="15">
        <v>223.61</v>
      </c>
    </row>
    <row r="305" spans="1:5">
      <c r="A305" t="s">
        <v>1464</v>
      </c>
      <c r="B305" s="15">
        <v>32.799999999999997</v>
      </c>
      <c r="D305" t="s">
        <v>561</v>
      </c>
      <c r="E305" s="15">
        <v>221.2</v>
      </c>
    </row>
    <row r="306" spans="1:5">
      <c r="A306" t="s">
        <v>1465</v>
      </c>
      <c r="B306" s="15">
        <v>6268</v>
      </c>
      <c r="C306" s="26">
        <f>B306/B314-1</f>
        <v>198.30047694753577</v>
      </c>
      <c r="D306" t="s">
        <v>562</v>
      </c>
      <c r="E306" s="15">
        <v>222.75</v>
      </c>
    </row>
    <row r="307" spans="1:5">
      <c r="A307" t="s">
        <v>1411</v>
      </c>
      <c r="B307" s="15">
        <v>31.92</v>
      </c>
      <c r="D307" t="s">
        <v>563</v>
      </c>
      <c r="E307" s="15">
        <v>222.240357902</v>
      </c>
    </row>
    <row r="308" spans="1:5">
      <c r="A308" t="s">
        <v>1412</v>
      </c>
      <c r="B308" s="15">
        <v>32.17</v>
      </c>
      <c r="D308" t="s">
        <v>564</v>
      </c>
      <c r="E308" s="15">
        <v>10550572</v>
      </c>
    </row>
    <row r="309" spans="1:5">
      <c r="A309" t="s">
        <v>1413</v>
      </c>
      <c r="B309" s="15">
        <v>31.86</v>
      </c>
      <c r="D309" t="s">
        <v>565</v>
      </c>
      <c r="E309" s="15">
        <v>0</v>
      </c>
    </row>
    <row r="310" spans="1:5">
      <c r="A310" t="s">
        <v>1414</v>
      </c>
      <c r="B310" s="15">
        <v>32.17</v>
      </c>
      <c r="D310" t="s">
        <v>566</v>
      </c>
      <c r="E310" s="15">
        <v>1</v>
      </c>
    </row>
    <row r="311" spans="1:5">
      <c r="A311" t="s">
        <v>1415</v>
      </c>
      <c r="B311" s="15">
        <v>4059</v>
      </c>
      <c r="D311" t="s">
        <v>567</v>
      </c>
      <c r="E311" s="15">
        <v>223.11</v>
      </c>
    </row>
    <row r="312" spans="1:5">
      <c r="A312" t="s">
        <v>1416</v>
      </c>
      <c r="B312" s="15">
        <v>31.87</v>
      </c>
      <c r="D312" t="s">
        <v>568</v>
      </c>
      <c r="E312" s="15">
        <v>223.55889999999999</v>
      </c>
    </row>
    <row r="313" spans="1:5">
      <c r="A313" t="s">
        <v>1417</v>
      </c>
      <c r="B313" s="15">
        <v>31.98</v>
      </c>
      <c r="D313" t="s">
        <v>569</v>
      </c>
      <c r="E313" s="15">
        <v>220.8</v>
      </c>
    </row>
    <row r="314" spans="1:5">
      <c r="A314" t="s">
        <v>1418</v>
      </c>
      <c r="B314" s="15">
        <v>31.45</v>
      </c>
      <c r="C314" s="26">
        <f>B314/B322-1</f>
        <v>-1.5873015873015817E-3</v>
      </c>
      <c r="D314" t="s">
        <v>570</v>
      </c>
      <c r="E314" s="15">
        <v>221.02</v>
      </c>
    </row>
    <row r="315" spans="1:5">
      <c r="A315" t="s">
        <v>1419</v>
      </c>
      <c r="B315" s="15">
        <v>31.61</v>
      </c>
      <c r="D315" t="s">
        <v>571</v>
      </c>
      <c r="E315" s="15">
        <v>220.514316065</v>
      </c>
    </row>
    <row r="316" spans="1:5">
      <c r="A316" t="s">
        <v>1420</v>
      </c>
      <c r="B316" s="15">
        <v>5590</v>
      </c>
      <c r="D316" t="s">
        <v>572</v>
      </c>
      <c r="E316" s="15">
        <v>18699638</v>
      </c>
    </row>
    <row r="317" spans="1:5">
      <c r="A317" t="s">
        <v>1421</v>
      </c>
      <c r="B317" s="15">
        <v>32.35</v>
      </c>
      <c r="D317" t="s">
        <v>573</v>
      </c>
      <c r="E317" s="15">
        <v>0</v>
      </c>
    </row>
    <row r="318" spans="1:5">
      <c r="A318" t="s">
        <v>1422</v>
      </c>
      <c r="B318" s="15">
        <v>32.520000000000003</v>
      </c>
      <c r="D318" t="s">
        <v>574</v>
      </c>
      <c r="E318" s="15">
        <v>1</v>
      </c>
    </row>
    <row r="319" spans="1:5">
      <c r="A319" t="s">
        <v>1423</v>
      </c>
      <c r="B319" s="15">
        <v>31.9</v>
      </c>
      <c r="D319" t="s">
        <v>575</v>
      </c>
      <c r="E319" s="15">
        <v>222.69</v>
      </c>
    </row>
    <row r="320" spans="1:5">
      <c r="A320" t="s">
        <v>1424</v>
      </c>
      <c r="B320" s="15">
        <v>32.200000000000003</v>
      </c>
      <c r="D320" t="s">
        <v>576</v>
      </c>
      <c r="E320" s="15">
        <v>225.63</v>
      </c>
    </row>
    <row r="321" spans="1:5">
      <c r="A321" t="s">
        <v>1425</v>
      </c>
      <c r="B321" s="15">
        <v>2000</v>
      </c>
      <c r="D321" t="s">
        <v>577</v>
      </c>
      <c r="E321" s="15">
        <v>221.85</v>
      </c>
    </row>
    <row r="322" spans="1:5">
      <c r="A322" t="s">
        <v>1426</v>
      </c>
      <c r="B322" s="15">
        <v>31.5</v>
      </c>
      <c r="C322" s="26">
        <f>B322/B330-1</f>
        <v>-2.7477616548317374E-2</v>
      </c>
      <c r="D322" t="s">
        <v>578</v>
      </c>
      <c r="E322" s="15">
        <v>223.94</v>
      </c>
    </row>
    <row r="323" spans="1:5">
      <c r="A323" t="s">
        <v>1427</v>
      </c>
      <c r="B323" s="15">
        <v>32.36</v>
      </c>
      <c r="D323" t="s">
        <v>579</v>
      </c>
      <c r="E323" s="15">
        <v>223.427635235</v>
      </c>
    </row>
    <row r="324" spans="1:5">
      <c r="A324" t="s">
        <v>1428</v>
      </c>
      <c r="B324" s="15">
        <v>31</v>
      </c>
      <c r="D324" t="s">
        <v>580</v>
      </c>
      <c r="E324" s="15">
        <v>22643397</v>
      </c>
    </row>
    <row r="325" spans="1:5">
      <c r="A325" t="s">
        <v>1429</v>
      </c>
      <c r="B325" s="15">
        <v>32.36</v>
      </c>
      <c r="D325" t="s">
        <v>581</v>
      </c>
      <c r="E325" s="15">
        <v>0</v>
      </c>
    </row>
    <row r="326" spans="1:5">
      <c r="A326" t="s">
        <v>1430</v>
      </c>
      <c r="B326" s="15">
        <v>2497</v>
      </c>
      <c r="D326" t="s">
        <v>582</v>
      </c>
      <c r="E326" s="15">
        <v>1</v>
      </c>
    </row>
    <row r="327" spans="1:5">
      <c r="A327" t="s">
        <v>1431</v>
      </c>
      <c r="B327" s="15">
        <v>33.06</v>
      </c>
      <c r="D327" t="s">
        <v>583</v>
      </c>
      <c r="E327" s="15">
        <v>217.55</v>
      </c>
    </row>
    <row r="328" spans="1:5">
      <c r="A328" t="s">
        <v>1432</v>
      </c>
      <c r="B328" s="15">
        <v>33.06</v>
      </c>
      <c r="D328" t="s">
        <v>584</v>
      </c>
      <c r="E328" s="15">
        <v>224</v>
      </c>
    </row>
    <row r="329" spans="1:5">
      <c r="A329" t="s">
        <v>1433</v>
      </c>
      <c r="B329" s="15">
        <v>31.91</v>
      </c>
      <c r="D329" t="s">
        <v>585</v>
      </c>
      <c r="E329" s="15">
        <v>217.2801</v>
      </c>
    </row>
    <row r="330" spans="1:5">
      <c r="A330" t="s">
        <v>1434</v>
      </c>
      <c r="B330" s="15">
        <v>32.39</v>
      </c>
      <c r="C330" s="26">
        <f>B330/B338-1</f>
        <v>-8.8739290085678713E-3</v>
      </c>
      <c r="D330" t="s">
        <v>586</v>
      </c>
      <c r="E330" s="15">
        <v>222.59</v>
      </c>
    </row>
    <row r="331" spans="1:5">
      <c r="A331" t="s">
        <v>1435</v>
      </c>
      <c r="B331" s="15">
        <v>7867</v>
      </c>
      <c r="D331" t="s">
        <v>587</v>
      </c>
      <c r="E331" s="15">
        <v>222.08072397500001</v>
      </c>
    </row>
    <row r="332" spans="1:5">
      <c r="A332" t="s">
        <v>1436</v>
      </c>
      <c r="B332" s="15">
        <v>32.44</v>
      </c>
      <c r="D332" t="s">
        <v>588</v>
      </c>
      <c r="E332" s="15">
        <v>37181886</v>
      </c>
    </row>
    <row r="333" spans="1:5">
      <c r="A333" t="s">
        <v>1437</v>
      </c>
      <c r="B333" s="15">
        <v>33.96</v>
      </c>
      <c r="D333" t="s">
        <v>589</v>
      </c>
      <c r="E333" s="15">
        <v>0</v>
      </c>
    </row>
    <row r="334" spans="1:5">
      <c r="A334" t="s">
        <v>1438</v>
      </c>
      <c r="B334" s="15">
        <v>32.25</v>
      </c>
      <c r="D334" t="s">
        <v>590</v>
      </c>
      <c r="E334" s="15">
        <v>1</v>
      </c>
    </row>
    <row r="335" spans="1:5">
      <c r="A335" t="s">
        <v>1439</v>
      </c>
      <c r="B335" s="15">
        <v>33.42</v>
      </c>
      <c r="D335" t="s">
        <v>591</v>
      </c>
      <c r="E335" s="15">
        <v>218.59</v>
      </c>
    </row>
    <row r="336" spans="1:5">
      <c r="A336" t="s">
        <v>1440</v>
      </c>
      <c r="B336" s="15">
        <v>4503</v>
      </c>
      <c r="D336" t="s">
        <v>592</v>
      </c>
      <c r="E336" s="15">
        <v>219.69</v>
      </c>
    </row>
    <row r="337" spans="1:5">
      <c r="A337" t="s">
        <v>1391</v>
      </c>
      <c r="B337" s="15">
        <v>31.45</v>
      </c>
      <c r="D337" t="s">
        <v>593</v>
      </c>
      <c r="E337" s="15">
        <v>216.02</v>
      </c>
    </row>
    <row r="338" spans="1:5">
      <c r="A338" t="s">
        <v>1392</v>
      </c>
      <c r="B338" s="15">
        <v>32.68</v>
      </c>
      <c r="C338" s="26">
        <f>B338/B346-1</f>
        <v>-0.87667924528301888</v>
      </c>
      <c r="D338" t="s">
        <v>594</v>
      </c>
      <c r="E338" s="15">
        <v>218.59</v>
      </c>
    </row>
    <row r="339" spans="1:5">
      <c r="A339" t="s">
        <v>1393</v>
      </c>
      <c r="B339" s="15">
        <v>31.22</v>
      </c>
      <c r="D339" t="s">
        <v>595</v>
      </c>
      <c r="E339" s="15">
        <v>218.08987579699999</v>
      </c>
    </row>
    <row r="340" spans="1:5">
      <c r="A340" t="s">
        <v>1394</v>
      </c>
      <c r="B340" s="15">
        <v>32.28</v>
      </c>
      <c r="D340" t="s">
        <v>596</v>
      </c>
      <c r="E340" s="15">
        <v>63354922</v>
      </c>
    </row>
    <row r="341" spans="1:5">
      <c r="A341" t="s">
        <v>1395</v>
      </c>
      <c r="B341" s="15">
        <v>4466</v>
      </c>
      <c r="D341" t="s">
        <v>597</v>
      </c>
      <c r="E341" s="15">
        <v>0</v>
      </c>
    </row>
    <row r="342" spans="1:5">
      <c r="A342" t="s">
        <v>1396</v>
      </c>
      <c r="B342" s="15">
        <v>30.95</v>
      </c>
      <c r="D342" t="s">
        <v>598</v>
      </c>
      <c r="E342" s="15">
        <v>1</v>
      </c>
    </row>
    <row r="343" spans="1:5">
      <c r="A343" t="s">
        <v>1397</v>
      </c>
      <c r="B343" s="15">
        <v>31.29</v>
      </c>
      <c r="D343" t="s">
        <v>599</v>
      </c>
      <c r="E343" s="15">
        <v>219.87</v>
      </c>
    </row>
    <row r="344" spans="1:5">
      <c r="A344" t="s">
        <v>1398</v>
      </c>
      <c r="B344" s="15">
        <v>30.85</v>
      </c>
      <c r="D344" t="s">
        <v>600</v>
      </c>
      <c r="E344" s="15">
        <v>220.89</v>
      </c>
    </row>
    <row r="345" spans="1:5">
      <c r="A345" t="s">
        <v>1399</v>
      </c>
      <c r="B345" s="15">
        <v>31.09</v>
      </c>
      <c r="D345" t="s">
        <v>601</v>
      </c>
      <c r="E345" s="15">
        <v>217.92</v>
      </c>
    </row>
    <row r="346" spans="1:5">
      <c r="A346" t="s">
        <v>1400</v>
      </c>
      <c r="B346" s="15">
        <v>265</v>
      </c>
      <c r="C346" s="26">
        <f>B346/B354-1</f>
        <v>7.28125</v>
      </c>
      <c r="D346" t="s">
        <v>602</v>
      </c>
      <c r="E346" s="15">
        <v>219.42</v>
      </c>
    </row>
    <row r="347" spans="1:5">
      <c r="A347" t="s">
        <v>1401</v>
      </c>
      <c r="B347" s="15">
        <v>32.58</v>
      </c>
      <c r="D347" t="s">
        <v>603</v>
      </c>
      <c r="E347" s="15">
        <v>218.917976794</v>
      </c>
    </row>
    <row r="348" spans="1:5">
      <c r="A348" t="s">
        <v>1402</v>
      </c>
      <c r="B348" s="15">
        <v>32.58</v>
      </c>
      <c r="D348" t="s">
        <v>604</v>
      </c>
      <c r="E348" s="15">
        <v>32515784</v>
      </c>
    </row>
    <row r="349" spans="1:5">
      <c r="A349" t="s">
        <v>1403</v>
      </c>
      <c r="B349" s="15">
        <v>30.84</v>
      </c>
      <c r="D349" t="s">
        <v>605</v>
      </c>
      <c r="E349" s="15">
        <v>0</v>
      </c>
    </row>
    <row r="350" spans="1:5">
      <c r="A350" t="s">
        <v>1404</v>
      </c>
      <c r="B350" s="15">
        <v>31.13</v>
      </c>
      <c r="D350" t="s">
        <v>606</v>
      </c>
      <c r="E350" s="15">
        <v>1</v>
      </c>
    </row>
    <row r="351" spans="1:5">
      <c r="A351" t="s">
        <v>1405</v>
      </c>
      <c r="B351" s="15">
        <v>1122</v>
      </c>
      <c r="D351" t="s">
        <v>607</v>
      </c>
      <c r="E351" s="15">
        <v>214.75</v>
      </c>
    </row>
    <row r="352" spans="1:5">
      <c r="A352" t="s">
        <v>1406</v>
      </c>
      <c r="B352" s="15">
        <v>32.96</v>
      </c>
      <c r="D352" t="s">
        <v>608</v>
      </c>
      <c r="E352" s="15">
        <v>220.11</v>
      </c>
    </row>
    <row r="353" spans="1:5">
      <c r="A353" t="s">
        <v>1407</v>
      </c>
      <c r="B353" s="15">
        <v>32.96</v>
      </c>
      <c r="D353" t="s">
        <v>609</v>
      </c>
      <c r="E353" s="15">
        <v>214.72</v>
      </c>
    </row>
    <row r="354" spans="1:5">
      <c r="A354" t="s">
        <v>1408</v>
      </c>
      <c r="B354" s="15">
        <v>32</v>
      </c>
      <c r="C354" s="26">
        <f>B354/B362-1</f>
        <v>-2.0807833537331732E-2</v>
      </c>
      <c r="D354" t="s">
        <v>610</v>
      </c>
      <c r="E354" s="15">
        <v>219.28</v>
      </c>
    </row>
    <row r="355" spans="1:5">
      <c r="A355" t="s">
        <v>1409</v>
      </c>
      <c r="B355" s="15">
        <v>32.549999999999997</v>
      </c>
      <c r="D355" t="s">
        <v>611</v>
      </c>
      <c r="E355" s="15">
        <v>218.77829710699999</v>
      </c>
    </row>
    <row r="356" spans="1:5">
      <c r="A356" t="s">
        <v>1410</v>
      </c>
      <c r="B356" s="15">
        <v>1382</v>
      </c>
      <c r="D356" t="s">
        <v>612</v>
      </c>
      <c r="E356" s="15">
        <v>35023253</v>
      </c>
    </row>
    <row r="357" spans="1:5">
      <c r="A357" t="s">
        <v>1366</v>
      </c>
      <c r="B357" s="15">
        <v>32.72</v>
      </c>
      <c r="D357" t="s">
        <v>613</v>
      </c>
      <c r="E357" s="15">
        <v>0</v>
      </c>
    </row>
    <row r="358" spans="1:5">
      <c r="A358" t="s">
        <v>1367</v>
      </c>
      <c r="B358" s="15">
        <v>33.28</v>
      </c>
      <c r="D358" t="s">
        <v>614</v>
      </c>
      <c r="E358" s="15">
        <v>1</v>
      </c>
    </row>
    <row r="359" spans="1:5">
      <c r="A359" t="s">
        <v>1368</v>
      </c>
      <c r="B359" s="15">
        <v>32.14</v>
      </c>
      <c r="D359" t="s">
        <v>615</v>
      </c>
      <c r="E359" s="15">
        <v>215.16499999999999</v>
      </c>
    </row>
    <row r="360" spans="1:5">
      <c r="A360" t="s">
        <v>1369</v>
      </c>
      <c r="B360" s="15">
        <v>32.9</v>
      </c>
      <c r="D360" t="s">
        <v>616</v>
      </c>
      <c r="E360" s="15">
        <v>215.42</v>
      </c>
    </row>
    <row r="361" spans="1:5">
      <c r="A361" t="s">
        <v>1370</v>
      </c>
      <c r="B361" s="15">
        <v>31555</v>
      </c>
      <c r="C361" s="26"/>
      <c r="D361" t="s">
        <v>617</v>
      </c>
      <c r="E361" s="15">
        <v>212.24</v>
      </c>
    </row>
    <row r="362" spans="1:5">
      <c r="A362" t="s">
        <v>1371</v>
      </c>
      <c r="B362" s="15">
        <v>32.68</v>
      </c>
      <c r="C362" s="26">
        <f>B362/B370-1</f>
        <v>-1.5366074118710382E-2</v>
      </c>
      <c r="D362" t="s">
        <v>618</v>
      </c>
      <c r="E362" s="15">
        <v>214.13</v>
      </c>
    </row>
    <row r="363" spans="1:5">
      <c r="A363" t="s">
        <v>1372</v>
      </c>
      <c r="B363" s="15">
        <v>33.119999999999997</v>
      </c>
      <c r="D363" t="s">
        <v>619</v>
      </c>
      <c r="E363" s="15">
        <v>213.64008007800001</v>
      </c>
    </row>
    <row r="364" spans="1:5">
      <c r="A364" t="s">
        <v>1373</v>
      </c>
      <c r="B364" s="15">
        <v>31.9</v>
      </c>
      <c r="D364" t="s">
        <v>620</v>
      </c>
      <c r="E364" s="15">
        <v>27018106</v>
      </c>
    </row>
    <row r="365" spans="1:5">
      <c r="A365" t="s">
        <v>1374</v>
      </c>
      <c r="B365" s="15">
        <v>33.119999999999997</v>
      </c>
      <c r="D365" t="s">
        <v>621</v>
      </c>
      <c r="E365" s="15">
        <v>0</v>
      </c>
    </row>
    <row r="366" spans="1:5">
      <c r="A366" t="s">
        <v>1375</v>
      </c>
      <c r="B366" s="15">
        <v>11138</v>
      </c>
      <c r="D366" t="s">
        <v>622</v>
      </c>
      <c r="E366" s="15">
        <v>1</v>
      </c>
    </row>
    <row r="367" spans="1:5">
      <c r="A367" t="s">
        <v>1376</v>
      </c>
      <c r="B367" s="15">
        <v>34.229999999999997</v>
      </c>
      <c r="D367" t="s">
        <v>623</v>
      </c>
      <c r="E367" s="15">
        <v>213.1</v>
      </c>
    </row>
    <row r="368" spans="1:5">
      <c r="A368" t="s">
        <v>1377</v>
      </c>
      <c r="B368" s="15">
        <v>34.33</v>
      </c>
      <c r="D368" t="s">
        <v>624</v>
      </c>
      <c r="E368" s="15">
        <v>216.21</v>
      </c>
    </row>
    <row r="369" spans="1:5">
      <c r="A369" t="s">
        <v>1378</v>
      </c>
      <c r="B369" s="15">
        <v>32.909999999999997</v>
      </c>
      <c r="D369" t="s">
        <v>625</v>
      </c>
      <c r="E369" s="15">
        <v>212.88</v>
      </c>
    </row>
    <row r="370" spans="1:5">
      <c r="A370" t="s">
        <v>1379</v>
      </c>
      <c r="B370" s="15">
        <v>33.19</v>
      </c>
      <c r="C370" s="26">
        <f>B370/B378-1</f>
        <v>-4.8997134670487164E-2</v>
      </c>
      <c r="D370" t="s">
        <v>626</v>
      </c>
      <c r="E370" s="15">
        <v>214.2</v>
      </c>
    </row>
    <row r="371" spans="1:5">
      <c r="A371" t="s">
        <v>1380</v>
      </c>
      <c r="B371" s="15">
        <v>4672</v>
      </c>
      <c r="D371" t="s">
        <v>627</v>
      </c>
      <c r="E371" s="15">
        <v>213.70991992200001</v>
      </c>
    </row>
    <row r="372" spans="1:5">
      <c r="A372" t="s">
        <v>1381</v>
      </c>
      <c r="B372" s="15">
        <v>34.21</v>
      </c>
      <c r="D372" t="s">
        <v>628</v>
      </c>
      <c r="E372" s="15">
        <v>28798379</v>
      </c>
    </row>
    <row r="373" spans="1:5">
      <c r="A373" t="s">
        <v>1382</v>
      </c>
      <c r="B373" s="15">
        <v>34.869999999999997</v>
      </c>
      <c r="D373" t="s">
        <v>629</v>
      </c>
      <c r="E373" s="15">
        <v>0</v>
      </c>
    </row>
    <row r="374" spans="1:5">
      <c r="A374" t="s">
        <v>1383</v>
      </c>
      <c r="B374" s="15">
        <v>34.21</v>
      </c>
      <c r="D374" t="s">
        <v>630</v>
      </c>
      <c r="E374" s="15">
        <v>1</v>
      </c>
    </row>
    <row r="375" spans="1:5">
      <c r="A375" t="s">
        <v>1384</v>
      </c>
      <c r="B375" s="15">
        <v>34.57</v>
      </c>
      <c r="D375" t="s">
        <v>631</v>
      </c>
      <c r="E375" s="15">
        <v>210.05</v>
      </c>
    </row>
    <row r="376" spans="1:5">
      <c r="A376" t="s">
        <v>1385</v>
      </c>
      <c r="B376" s="15">
        <v>903</v>
      </c>
      <c r="D376" t="s">
        <v>632</v>
      </c>
      <c r="E376" s="15">
        <v>213.32</v>
      </c>
    </row>
    <row r="377" spans="1:5">
      <c r="A377" t="s">
        <v>1386</v>
      </c>
      <c r="B377" s="15">
        <v>34.880000000000003</v>
      </c>
      <c r="D377" t="s">
        <v>633</v>
      </c>
      <c r="E377" s="15">
        <v>209.11</v>
      </c>
    </row>
    <row r="378" spans="1:5">
      <c r="A378" t="s">
        <v>1387</v>
      </c>
      <c r="B378" s="15">
        <v>34.9</v>
      </c>
      <c r="C378" s="26">
        <f>B378/B386-1</f>
        <v>-0.99414232964081906</v>
      </c>
      <c r="D378" t="s">
        <v>634</v>
      </c>
      <c r="E378" s="15">
        <v>213.26</v>
      </c>
    </row>
    <row r="379" spans="1:5">
      <c r="A379" t="s">
        <v>1388</v>
      </c>
      <c r="B379" s="15">
        <v>33.93</v>
      </c>
      <c r="D379" t="s">
        <v>635</v>
      </c>
      <c r="E379" s="15">
        <v>212.77207060000001</v>
      </c>
    </row>
    <row r="380" spans="1:5">
      <c r="A380" t="s">
        <v>1389</v>
      </c>
      <c r="B380" s="15">
        <v>34.11</v>
      </c>
      <c r="D380" t="s">
        <v>636</v>
      </c>
      <c r="E380" s="15">
        <v>30979440</v>
      </c>
    </row>
    <row r="381" spans="1:5">
      <c r="A381" t="s">
        <v>1390</v>
      </c>
      <c r="B381" s="15">
        <v>4652</v>
      </c>
      <c r="D381" t="s">
        <v>637</v>
      </c>
      <c r="E381" s="15">
        <v>0</v>
      </c>
    </row>
    <row r="382" spans="1:5">
      <c r="A382" t="s">
        <v>1341</v>
      </c>
      <c r="B382" s="15">
        <v>33.65</v>
      </c>
      <c r="D382" t="s">
        <v>638</v>
      </c>
      <c r="E382" s="15">
        <v>1</v>
      </c>
    </row>
    <row r="383" spans="1:5">
      <c r="A383" t="s">
        <v>1342</v>
      </c>
      <c r="B383" s="15">
        <v>34.770000000000003</v>
      </c>
      <c r="D383" t="s">
        <v>639</v>
      </c>
      <c r="E383" s="15">
        <v>211.77</v>
      </c>
    </row>
    <row r="384" spans="1:5">
      <c r="A384" t="s">
        <v>1343</v>
      </c>
      <c r="B384" s="15">
        <v>32.74</v>
      </c>
      <c r="D384" t="s">
        <v>640</v>
      </c>
      <c r="E384" s="15">
        <v>213.08</v>
      </c>
    </row>
    <row r="385" spans="1:5">
      <c r="A385" t="s">
        <v>1344</v>
      </c>
      <c r="B385" s="15">
        <v>34.770000000000003</v>
      </c>
      <c r="D385" t="s">
        <v>641</v>
      </c>
      <c r="E385" s="15">
        <v>210.36</v>
      </c>
    </row>
    <row r="386" spans="1:5">
      <c r="A386" t="s">
        <v>1345</v>
      </c>
      <c r="B386" s="15">
        <v>5958</v>
      </c>
      <c r="C386" s="26">
        <f>B386/B394-1</f>
        <v>172.19767441860466</v>
      </c>
      <c r="D386" t="s">
        <v>642</v>
      </c>
      <c r="E386" s="15">
        <v>210.52</v>
      </c>
    </row>
    <row r="387" spans="1:5">
      <c r="A387" t="s">
        <v>1346</v>
      </c>
      <c r="B387" s="15">
        <v>34.18</v>
      </c>
      <c r="D387" t="s">
        <v>643</v>
      </c>
      <c r="E387" s="15">
        <v>210.03833959799999</v>
      </c>
    </row>
    <row r="388" spans="1:5">
      <c r="A388" t="s">
        <v>1347</v>
      </c>
      <c r="B388" s="15">
        <v>34.299999999999997</v>
      </c>
      <c r="D388" t="s">
        <v>644</v>
      </c>
      <c r="E388" s="15">
        <v>26467017</v>
      </c>
    </row>
    <row r="389" spans="1:5">
      <c r="A389" t="s">
        <v>1348</v>
      </c>
      <c r="B389" s="15">
        <v>33.19</v>
      </c>
      <c r="D389" t="s">
        <v>645</v>
      </c>
      <c r="E389" s="15">
        <v>0</v>
      </c>
    </row>
    <row r="390" spans="1:5">
      <c r="A390" t="s">
        <v>1349</v>
      </c>
      <c r="B390" s="15">
        <v>33.39</v>
      </c>
      <c r="D390" t="s">
        <v>646</v>
      </c>
      <c r="E390" s="15">
        <v>1</v>
      </c>
    </row>
    <row r="391" spans="1:5">
      <c r="A391" t="s">
        <v>1350</v>
      </c>
      <c r="B391" s="15">
        <v>2313</v>
      </c>
      <c r="D391" t="s">
        <v>647</v>
      </c>
      <c r="E391" s="15">
        <v>215.16</v>
      </c>
    </row>
    <row r="392" spans="1:5">
      <c r="A392" t="s">
        <v>1351</v>
      </c>
      <c r="B392" s="15">
        <v>35.729999999999997</v>
      </c>
      <c r="D392" t="s">
        <v>648</v>
      </c>
      <c r="E392" s="15">
        <v>215.22499999999999</v>
      </c>
    </row>
    <row r="393" spans="1:5">
      <c r="A393" t="s">
        <v>1352</v>
      </c>
      <c r="B393" s="15">
        <v>35.729999999999997</v>
      </c>
      <c r="D393" t="s">
        <v>649</v>
      </c>
      <c r="E393" s="15">
        <v>211.214</v>
      </c>
    </row>
    <row r="394" spans="1:5">
      <c r="A394" t="s">
        <v>1353</v>
      </c>
      <c r="B394" s="15">
        <v>34.4</v>
      </c>
      <c r="C394" s="26">
        <f>B394/B402-1</f>
        <v>-4.0981321438527951E-2</v>
      </c>
      <c r="D394" t="s">
        <v>650</v>
      </c>
      <c r="E394" s="15">
        <v>211.8</v>
      </c>
    </row>
    <row r="395" spans="1:5">
      <c r="A395" t="s">
        <v>1354</v>
      </c>
      <c r="B395" s="15">
        <v>34.47</v>
      </c>
      <c r="D395" t="s">
        <v>651</v>
      </c>
      <c r="E395" s="15">
        <v>211.315411015</v>
      </c>
    </row>
    <row r="396" spans="1:5">
      <c r="A396" t="s">
        <v>1355</v>
      </c>
      <c r="B396" s="15">
        <v>88543</v>
      </c>
      <c r="D396" t="s">
        <v>652</v>
      </c>
      <c r="E396" s="15">
        <v>32440603</v>
      </c>
    </row>
    <row r="397" spans="1:5">
      <c r="A397" t="s">
        <v>1356</v>
      </c>
      <c r="B397" s="15">
        <v>35.79</v>
      </c>
      <c r="D397" t="s">
        <v>653</v>
      </c>
      <c r="E397" s="15">
        <v>0</v>
      </c>
    </row>
    <row r="398" spans="1:5">
      <c r="A398" t="s">
        <v>1357</v>
      </c>
      <c r="B398" s="15">
        <v>36.65</v>
      </c>
      <c r="D398" t="s">
        <v>654</v>
      </c>
      <c r="E398" s="15">
        <v>1</v>
      </c>
    </row>
    <row r="399" spans="1:5">
      <c r="A399" t="s">
        <v>1358</v>
      </c>
      <c r="B399" s="15">
        <v>35.79</v>
      </c>
      <c r="D399" t="s">
        <v>655</v>
      </c>
      <c r="E399" s="15">
        <v>213.97</v>
      </c>
    </row>
    <row r="400" spans="1:5">
      <c r="A400" t="s">
        <v>1359</v>
      </c>
      <c r="B400" s="15">
        <v>36.11</v>
      </c>
      <c r="D400" t="s">
        <v>656</v>
      </c>
      <c r="E400" s="15">
        <v>216.95</v>
      </c>
    </row>
    <row r="401" spans="1:5">
      <c r="A401" t="s">
        <v>1360</v>
      </c>
      <c r="B401" s="15">
        <v>1026</v>
      </c>
      <c r="D401" t="s">
        <v>657</v>
      </c>
      <c r="E401" s="15">
        <v>212.89</v>
      </c>
    </row>
    <row r="402" spans="1:5">
      <c r="A402" t="s">
        <v>1361</v>
      </c>
      <c r="B402" s="15">
        <v>35.869999999999997</v>
      </c>
      <c r="C402" s="26">
        <f>B402/B410-1</f>
        <v>-3.334259516532545E-3</v>
      </c>
      <c r="D402" t="s">
        <v>658</v>
      </c>
      <c r="E402" s="15">
        <v>216.01</v>
      </c>
    </row>
    <row r="403" spans="1:5">
      <c r="A403" t="s">
        <v>1362</v>
      </c>
      <c r="B403" s="15">
        <v>35.950000000000003</v>
      </c>
      <c r="D403" t="s">
        <v>659</v>
      </c>
      <c r="E403" s="15">
        <v>215.51577872199999</v>
      </c>
    </row>
    <row r="404" spans="1:5">
      <c r="A404" t="s">
        <v>1363</v>
      </c>
      <c r="B404" s="15">
        <v>34.83</v>
      </c>
      <c r="D404" t="s">
        <v>660</v>
      </c>
      <c r="E404" s="15">
        <v>23284094</v>
      </c>
    </row>
    <row r="405" spans="1:5">
      <c r="A405" t="s">
        <v>1364</v>
      </c>
      <c r="B405" s="15">
        <v>35.700000000000003</v>
      </c>
      <c r="D405" t="s">
        <v>661</v>
      </c>
      <c r="E405" s="15">
        <v>0</v>
      </c>
    </row>
    <row r="406" spans="1:5">
      <c r="A406" t="s">
        <v>1365</v>
      </c>
      <c r="B406" s="15">
        <v>8987</v>
      </c>
      <c r="D406" t="s">
        <v>662</v>
      </c>
      <c r="E406" s="15">
        <v>1</v>
      </c>
    </row>
    <row r="407" spans="1:5">
      <c r="A407" t="s">
        <v>1316</v>
      </c>
      <c r="B407" s="15">
        <v>36.5</v>
      </c>
      <c r="D407" t="s">
        <v>663</v>
      </c>
      <c r="E407" s="15">
        <v>214.37</v>
      </c>
    </row>
    <row r="408" spans="1:5">
      <c r="A408" t="s">
        <v>1317</v>
      </c>
      <c r="B408" s="15">
        <v>37</v>
      </c>
      <c r="D408" t="s">
        <v>664</v>
      </c>
      <c r="E408" s="15">
        <v>215.54</v>
      </c>
    </row>
    <row r="409" spans="1:5">
      <c r="A409" t="s">
        <v>1318</v>
      </c>
      <c r="B409" s="15">
        <v>35.729999999999997</v>
      </c>
      <c r="D409" t="s">
        <v>665</v>
      </c>
      <c r="E409" s="15">
        <v>212.99</v>
      </c>
    </row>
    <row r="410" spans="1:5">
      <c r="A410" t="s">
        <v>1319</v>
      </c>
      <c r="B410" s="15">
        <v>35.99</v>
      </c>
      <c r="C410" s="26">
        <f>B410/B418-1</f>
        <v>-0.10159760359460812</v>
      </c>
      <c r="D410" t="s">
        <v>666</v>
      </c>
      <c r="E410" s="15">
        <v>214.29</v>
      </c>
    </row>
    <row r="411" spans="1:5">
      <c r="A411" t="s">
        <v>1320</v>
      </c>
      <c r="B411" s="15">
        <v>2443</v>
      </c>
      <c r="D411" t="s">
        <v>667</v>
      </c>
      <c r="E411" s="15">
        <v>213.79971400599999</v>
      </c>
    </row>
    <row r="412" spans="1:5">
      <c r="A412" t="s">
        <v>1321</v>
      </c>
      <c r="B412" s="15">
        <v>39.74</v>
      </c>
      <c r="D412" t="s">
        <v>668</v>
      </c>
      <c r="E412" s="15">
        <v>24619997</v>
      </c>
    </row>
    <row r="413" spans="1:5">
      <c r="A413" t="s">
        <v>1322</v>
      </c>
      <c r="B413" s="15">
        <v>39.74</v>
      </c>
      <c r="D413" t="s">
        <v>669</v>
      </c>
      <c r="E413" s="15">
        <v>0</v>
      </c>
    </row>
    <row r="414" spans="1:5">
      <c r="A414" t="s">
        <v>1323</v>
      </c>
      <c r="B414" s="15">
        <v>36</v>
      </c>
      <c r="D414" t="s">
        <v>670</v>
      </c>
      <c r="E414" s="15">
        <v>1</v>
      </c>
    </row>
    <row r="415" spans="1:5">
      <c r="A415" t="s">
        <v>1324</v>
      </c>
      <c r="B415" s="15">
        <v>36.24</v>
      </c>
      <c r="D415" t="s">
        <v>671</v>
      </c>
      <c r="E415" s="15">
        <v>214.22</v>
      </c>
    </row>
    <row r="416" spans="1:5">
      <c r="A416" t="s">
        <v>1325</v>
      </c>
      <c r="B416" s="15">
        <v>6137</v>
      </c>
      <c r="D416" t="s">
        <v>672</v>
      </c>
      <c r="E416" s="15">
        <v>215.38</v>
      </c>
    </row>
    <row r="417" spans="1:5">
      <c r="A417" t="s">
        <v>1326</v>
      </c>
      <c r="B417" s="15">
        <v>40.06</v>
      </c>
      <c r="D417" t="s">
        <v>673</v>
      </c>
      <c r="E417" s="15">
        <v>213.18</v>
      </c>
    </row>
    <row r="418" spans="1:5">
      <c r="A418" t="s">
        <v>1327</v>
      </c>
      <c r="B418" s="15">
        <v>40.06</v>
      </c>
      <c r="C418" s="26">
        <f>B418/B426-1</f>
        <v>-0.9692555640828856</v>
      </c>
      <c r="D418" t="s">
        <v>674</v>
      </c>
      <c r="E418" s="15">
        <v>214.36</v>
      </c>
    </row>
    <row r="419" spans="1:5">
      <c r="A419" t="s">
        <v>1328</v>
      </c>
      <c r="B419" s="15">
        <v>39.49</v>
      </c>
      <c r="D419" t="s">
        <v>675</v>
      </c>
      <c r="E419" s="15">
        <v>213.869553849</v>
      </c>
    </row>
    <row r="420" spans="1:5">
      <c r="A420" t="s">
        <v>1329</v>
      </c>
      <c r="B420" s="15">
        <v>39.700000000000003</v>
      </c>
      <c r="D420" t="s">
        <v>676</v>
      </c>
      <c r="E420" s="15">
        <v>24666039</v>
      </c>
    </row>
    <row r="421" spans="1:5">
      <c r="A421" t="s">
        <v>1330</v>
      </c>
      <c r="B421" s="15">
        <v>695</v>
      </c>
      <c r="D421" t="s">
        <v>677</v>
      </c>
      <c r="E421" s="15">
        <v>0</v>
      </c>
    </row>
    <row r="422" spans="1:5">
      <c r="A422" t="s">
        <v>1331</v>
      </c>
      <c r="B422" s="15">
        <v>41.02</v>
      </c>
      <c r="D422" t="s">
        <v>678</v>
      </c>
      <c r="E422" s="15">
        <v>1</v>
      </c>
    </row>
    <row r="423" spans="1:5">
      <c r="A423" t="s">
        <v>1332</v>
      </c>
      <c r="B423" s="15">
        <v>41.36</v>
      </c>
      <c r="D423" t="s">
        <v>679</v>
      </c>
      <c r="E423" s="15">
        <v>214.61</v>
      </c>
    </row>
    <row r="424" spans="1:5">
      <c r="A424" t="s">
        <v>1333</v>
      </c>
      <c r="B424" s="15">
        <v>39.479999999999997</v>
      </c>
      <c r="D424" t="s">
        <v>680</v>
      </c>
      <c r="E424" s="15">
        <v>216.37569999999999</v>
      </c>
    </row>
    <row r="425" spans="1:5">
      <c r="A425" t="s">
        <v>1334</v>
      </c>
      <c r="B425" s="15">
        <v>39.97</v>
      </c>
      <c r="D425" t="s">
        <v>681</v>
      </c>
      <c r="E425" s="15">
        <v>213.65</v>
      </c>
    </row>
    <row r="426" spans="1:5">
      <c r="A426" t="s">
        <v>1335</v>
      </c>
      <c r="B426" s="15">
        <v>1303</v>
      </c>
      <c r="C426" s="26">
        <f>B426/B434-1</f>
        <v>30.443050193050194</v>
      </c>
      <c r="D426" t="s">
        <v>682</v>
      </c>
      <c r="E426" s="15">
        <v>214.24</v>
      </c>
    </row>
    <row r="427" spans="1:5">
      <c r="A427" t="s">
        <v>1336</v>
      </c>
      <c r="B427" s="15">
        <v>41.05</v>
      </c>
      <c r="D427" t="s">
        <v>683</v>
      </c>
      <c r="E427" s="15">
        <v>213.74982840300001</v>
      </c>
    </row>
    <row r="428" spans="1:5">
      <c r="A428" t="s">
        <v>1337</v>
      </c>
      <c r="B428" s="15">
        <v>41.26</v>
      </c>
      <c r="D428" t="s">
        <v>684</v>
      </c>
      <c r="E428" s="15">
        <v>25120922</v>
      </c>
    </row>
    <row r="429" spans="1:5">
      <c r="A429" t="s">
        <v>1338</v>
      </c>
      <c r="B429" s="15">
        <v>40.83</v>
      </c>
      <c r="D429" t="s">
        <v>685</v>
      </c>
      <c r="E429" s="15">
        <v>0</v>
      </c>
    </row>
    <row r="430" spans="1:5">
      <c r="A430" t="s">
        <v>1339</v>
      </c>
      <c r="B430" s="15">
        <v>40.83</v>
      </c>
      <c r="D430" t="s">
        <v>686</v>
      </c>
      <c r="E430" s="15">
        <v>1</v>
      </c>
    </row>
    <row r="431" spans="1:5">
      <c r="A431" t="s">
        <v>1340</v>
      </c>
      <c r="B431" s="15">
        <v>1575</v>
      </c>
      <c r="D431" t="s">
        <v>687</v>
      </c>
      <c r="E431" s="15">
        <v>214.88</v>
      </c>
    </row>
    <row r="432" spans="1:5">
      <c r="A432" t="s">
        <v>1291</v>
      </c>
      <c r="B432" s="15">
        <v>42.86</v>
      </c>
      <c r="D432" t="s">
        <v>688</v>
      </c>
      <c r="E432" s="15">
        <v>215.47</v>
      </c>
    </row>
    <row r="433" spans="1:5">
      <c r="A433" t="s">
        <v>1292</v>
      </c>
      <c r="B433" s="15">
        <v>42.86</v>
      </c>
      <c r="C433" s="26"/>
      <c r="D433" t="s">
        <v>689</v>
      </c>
      <c r="E433" s="15">
        <v>212.8</v>
      </c>
    </row>
    <row r="434" spans="1:5">
      <c r="A434" t="s">
        <v>1293</v>
      </c>
      <c r="B434" s="15">
        <v>41.44</v>
      </c>
      <c r="C434" s="26">
        <f>B434/B442-1</f>
        <v>-4.7137272936307317E-2</v>
      </c>
      <c r="D434" t="s">
        <v>690</v>
      </c>
      <c r="E434" s="15">
        <v>215.37</v>
      </c>
    </row>
    <row r="435" spans="1:5">
      <c r="A435" t="s">
        <v>1294</v>
      </c>
      <c r="B435" s="15">
        <v>41.8</v>
      </c>
      <c r="D435" t="s">
        <v>691</v>
      </c>
      <c r="E435" s="15">
        <v>214.87724301399999</v>
      </c>
    </row>
    <row r="436" spans="1:5">
      <c r="A436" t="s">
        <v>1295</v>
      </c>
      <c r="B436" s="15">
        <v>2951</v>
      </c>
      <c r="D436" t="s">
        <v>692</v>
      </c>
      <c r="E436" s="15">
        <v>23724509</v>
      </c>
    </row>
    <row r="437" spans="1:5">
      <c r="A437" t="s">
        <v>1296</v>
      </c>
      <c r="B437" s="15">
        <v>43.49</v>
      </c>
      <c r="D437" t="s">
        <v>693</v>
      </c>
      <c r="E437" s="15">
        <v>0</v>
      </c>
    </row>
    <row r="438" spans="1:5">
      <c r="A438" t="s">
        <v>1297</v>
      </c>
      <c r="B438" s="15">
        <v>44.01</v>
      </c>
      <c r="D438" t="s">
        <v>694</v>
      </c>
      <c r="E438" s="15">
        <v>1</v>
      </c>
    </row>
    <row r="439" spans="1:5">
      <c r="A439" t="s">
        <v>1298</v>
      </c>
      <c r="B439" s="15">
        <v>42.9</v>
      </c>
      <c r="D439" t="s">
        <v>695</v>
      </c>
      <c r="E439" s="15">
        <v>214.51</v>
      </c>
    </row>
    <row r="440" spans="1:5">
      <c r="A440" t="s">
        <v>1299</v>
      </c>
      <c r="B440" s="15">
        <v>42.9</v>
      </c>
      <c r="D440" t="s">
        <v>696</v>
      </c>
      <c r="E440" s="15">
        <v>217.32</v>
      </c>
    </row>
    <row r="441" spans="1:5">
      <c r="A441" t="s">
        <v>1300</v>
      </c>
      <c r="B441" s="15">
        <v>1628</v>
      </c>
      <c r="D441" t="s">
        <v>697</v>
      </c>
      <c r="E441" s="15">
        <v>213.35</v>
      </c>
    </row>
    <row r="442" spans="1:5">
      <c r="A442" t="s">
        <v>1301</v>
      </c>
      <c r="B442" s="15">
        <v>43.49</v>
      </c>
      <c r="C442" s="26">
        <f>B442/B450-1</f>
        <v>1.8428933425478355E-3</v>
      </c>
      <c r="D442" t="s">
        <v>698</v>
      </c>
      <c r="E442" s="15">
        <v>216.21</v>
      </c>
    </row>
    <row r="443" spans="1:5">
      <c r="A443" t="s">
        <v>1302</v>
      </c>
      <c r="B443" s="15">
        <v>44.26</v>
      </c>
      <c r="D443" t="s">
        <v>699</v>
      </c>
      <c r="E443" s="15">
        <v>215.715321131</v>
      </c>
    </row>
    <row r="444" spans="1:5">
      <c r="A444" t="s">
        <v>1303</v>
      </c>
      <c r="B444" s="15">
        <v>43.49</v>
      </c>
      <c r="D444" t="s">
        <v>700</v>
      </c>
      <c r="E444" s="15">
        <v>30498026</v>
      </c>
    </row>
    <row r="445" spans="1:5">
      <c r="A445" t="s">
        <v>1304</v>
      </c>
      <c r="B445" s="15">
        <v>43.76</v>
      </c>
      <c r="D445" t="s">
        <v>701</v>
      </c>
      <c r="E445" s="15">
        <v>0</v>
      </c>
    </row>
    <row r="446" spans="1:5">
      <c r="A446" t="s">
        <v>1305</v>
      </c>
      <c r="B446" s="15">
        <v>1130</v>
      </c>
      <c r="D446" t="s">
        <v>702</v>
      </c>
      <c r="E446" s="15">
        <v>1</v>
      </c>
    </row>
    <row r="447" spans="1:5">
      <c r="A447" t="s">
        <v>1306</v>
      </c>
      <c r="B447" s="15">
        <v>43.7</v>
      </c>
      <c r="D447" t="s">
        <v>703</v>
      </c>
      <c r="E447" s="15">
        <v>214.1</v>
      </c>
    </row>
    <row r="448" spans="1:5">
      <c r="A448" t="s">
        <v>1307</v>
      </c>
      <c r="B448" s="15">
        <v>44.22</v>
      </c>
      <c r="D448" t="s">
        <v>704</v>
      </c>
      <c r="E448" s="15">
        <v>214.76</v>
      </c>
    </row>
    <row r="449" spans="1:5">
      <c r="A449" t="s">
        <v>1308</v>
      </c>
      <c r="B449" s="15">
        <v>43.38</v>
      </c>
      <c r="D449" t="s">
        <v>705</v>
      </c>
      <c r="E449" s="15">
        <v>210.83500000000001</v>
      </c>
    </row>
    <row r="450" spans="1:5">
      <c r="A450" t="s">
        <v>1309</v>
      </c>
      <c r="B450" s="15">
        <v>43.41</v>
      </c>
      <c r="C450" s="26">
        <f>B450/B458-1</f>
        <v>-2.1415689810640237E-2</v>
      </c>
      <c r="D450" t="s">
        <v>706</v>
      </c>
      <c r="E450" s="15">
        <v>214.07</v>
      </c>
    </row>
    <row r="451" spans="1:5">
      <c r="A451" t="s">
        <v>1310</v>
      </c>
      <c r="B451" s="15">
        <v>1271</v>
      </c>
      <c r="D451" t="s">
        <v>707</v>
      </c>
      <c r="E451" s="15">
        <v>213.58021735599999</v>
      </c>
    </row>
    <row r="452" spans="1:5">
      <c r="A452" t="s">
        <v>1311</v>
      </c>
      <c r="B452" s="15">
        <v>43.97</v>
      </c>
      <c r="D452" t="s">
        <v>708</v>
      </c>
      <c r="E452" s="15">
        <v>33064753</v>
      </c>
    </row>
    <row r="453" spans="1:5">
      <c r="A453" t="s">
        <v>1312</v>
      </c>
      <c r="B453" s="15">
        <v>44.06</v>
      </c>
      <c r="D453" t="s">
        <v>709</v>
      </c>
      <c r="E453" s="15">
        <v>0</v>
      </c>
    </row>
    <row r="454" spans="1:5">
      <c r="A454" t="s">
        <v>1313</v>
      </c>
      <c r="B454" s="15">
        <v>43.97</v>
      </c>
      <c r="D454" t="s">
        <v>710</v>
      </c>
      <c r="E454" s="15">
        <v>1</v>
      </c>
    </row>
    <row r="455" spans="1:5">
      <c r="A455" t="s">
        <v>1314</v>
      </c>
      <c r="B455" s="15">
        <v>44.03</v>
      </c>
      <c r="D455" t="s">
        <v>711</v>
      </c>
      <c r="E455" s="15">
        <v>214.85</v>
      </c>
    </row>
    <row r="456" spans="1:5">
      <c r="A456" t="s">
        <v>1315</v>
      </c>
      <c r="B456" s="15">
        <v>1055</v>
      </c>
      <c r="D456" t="s">
        <v>712</v>
      </c>
      <c r="E456" s="15">
        <v>216.27</v>
      </c>
    </row>
    <row r="457" spans="1:5">
      <c r="A457" t="s">
        <v>1266</v>
      </c>
      <c r="B457" s="15">
        <v>44.18</v>
      </c>
      <c r="D457" t="s">
        <v>713</v>
      </c>
      <c r="E457" s="15">
        <v>214.04</v>
      </c>
    </row>
    <row r="458" spans="1:5">
      <c r="A458" t="s">
        <v>1267</v>
      </c>
      <c r="B458" s="15">
        <v>44.36</v>
      </c>
      <c r="C458" s="26">
        <f>B458/B466-1</f>
        <v>-0.97812623274161736</v>
      </c>
      <c r="D458" t="s">
        <v>714</v>
      </c>
      <c r="E458" s="15">
        <v>215.23</v>
      </c>
    </row>
    <row r="459" spans="1:5">
      <c r="A459" t="s">
        <v>1268</v>
      </c>
      <c r="B459" s="15">
        <v>44.17</v>
      </c>
      <c r="D459" t="s">
        <v>715</v>
      </c>
      <c r="E459" s="15">
        <v>214.737563327</v>
      </c>
    </row>
    <row r="460" spans="1:5">
      <c r="A460" t="s">
        <v>1269</v>
      </c>
      <c r="B460" s="15">
        <v>44.17</v>
      </c>
      <c r="D460" t="s">
        <v>716</v>
      </c>
      <c r="E460" s="15">
        <v>14512213</v>
      </c>
    </row>
    <row r="461" spans="1:5">
      <c r="A461" t="s">
        <v>1270</v>
      </c>
      <c r="B461" s="15">
        <v>893</v>
      </c>
      <c r="D461" t="s">
        <v>717</v>
      </c>
      <c r="E461" s="15">
        <v>0</v>
      </c>
    </row>
    <row r="462" spans="1:5">
      <c r="A462" t="s">
        <v>1271</v>
      </c>
      <c r="B462" s="15">
        <v>42.9</v>
      </c>
      <c r="D462" t="s">
        <v>718</v>
      </c>
      <c r="E462" s="15">
        <v>1</v>
      </c>
    </row>
    <row r="463" spans="1:5">
      <c r="A463" t="s">
        <v>1272</v>
      </c>
      <c r="B463" s="15">
        <v>44.12</v>
      </c>
      <c r="D463" t="s">
        <v>719</v>
      </c>
      <c r="E463" s="15">
        <v>215.11</v>
      </c>
    </row>
    <row r="464" spans="1:5">
      <c r="A464" t="s">
        <v>1273</v>
      </c>
      <c r="B464" s="15">
        <v>42.9</v>
      </c>
      <c r="D464" t="s">
        <v>720</v>
      </c>
      <c r="E464" s="15">
        <v>215.29</v>
      </c>
    </row>
    <row r="465" spans="1:5">
      <c r="A465" t="s">
        <v>1274</v>
      </c>
      <c r="B465" s="15">
        <v>44.12</v>
      </c>
      <c r="D465" t="s">
        <v>721</v>
      </c>
      <c r="E465" s="15">
        <v>212.46</v>
      </c>
    </row>
    <row r="466" spans="1:5">
      <c r="A466" t="s">
        <v>1275</v>
      </c>
      <c r="B466" s="15">
        <v>2028</v>
      </c>
      <c r="C466" s="26">
        <f>B466/B474-1</f>
        <v>46.807637906647805</v>
      </c>
      <c r="D466" t="s">
        <v>722</v>
      </c>
      <c r="E466" s="15">
        <v>213.87</v>
      </c>
    </row>
    <row r="467" spans="1:5">
      <c r="A467" t="s">
        <v>1276</v>
      </c>
      <c r="B467" s="15">
        <v>42.6</v>
      </c>
      <c r="D467" t="s">
        <v>723</v>
      </c>
      <c r="E467" s="15">
        <v>213.38067494699999</v>
      </c>
    </row>
    <row r="468" spans="1:5">
      <c r="A468" t="s">
        <v>1277</v>
      </c>
      <c r="B468" s="15">
        <v>43.09</v>
      </c>
      <c r="D468" t="s">
        <v>724</v>
      </c>
      <c r="E468" s="15">
        <v>21012887</v>
      </c>
    </row>
    <row r="469" spans="1:5">
      <c r="A469" t="s">
        <v>1278</v>
      </c>
      <c r="B469" s="15">
        <v>42.6</v>
      </c>
      <c r="D469" t="s">
        <v>725</v>
      </c>
      <c r="E469" s="15">
        <v>0</v>
      </c>
    </row>
    <row r="470" spans="1:5">
      <c r="A470" t="s">
        <v>1279</v>
      </c>
      <c r="B470" s="15">
        <v>43.01</v>
      </c>
      <c r="D470" t="s">
        <v>726</v>
      </c>
      <c r="E470" s="15">
        <v>1</v>
      </c>
    </row>
    <row r="471" spans="1:5">
      <c r="A471" t="s">
        <v>1280</v>
      </c>
      <c r="B471" s="15">
        <v>2582</v>
      </c>
      <c r="D471" t="s">
        <v>727</v>
      </c>
      <c r="E471" s="15">
        <v>209.59</v>
      </c>
    </row>
    <row r="472" spans="1:5">
      <c r="A472" t="s">
        <v>1281</v>
      </c>
      <c r="B472" s="15">
        <v>42.9</v>
      </c>
      <c r="D472" t="s">
        <v>728</v>
      </c>
      <c r="E472" s="15">
        <v>214.25</v>
      </c>
    </row>
    <row r="473" spans="1:5">
      <c r="A473" t="s">
        <v>1282</v>
      </c>
      <c r="B473" s="15">
        <v>43.14</v>
      </c>
      <c r="D473" t="s">
        <v>729</v>
      </c>
      <c r="E473" s="15">
        <v>208.86</v>
      </c>
    </row>
    <row r="474" spans="1:5">
      <c r="A474" t="s">
        <v>1283</v>
      </c>
      <c r="B474" s="15">
        <v>42.42</v>
      </c>
      <c r="C474" s="26">
        <f>B474/B482-1</f>
        <v>2.1676300578034713E-2</v>
      </c>
      <c r="D474" t="s">
        <v>730</v>
      </c>
      <c r="E474" s="15">
        <v>213.86</v>
      </c>
    </row>
    <row r="475" spans="1:5">
      <c r="A475" t="s">
        <v>1284</v>
      </c>
      <c r="B475" s="15">
        <v>42.6</v>
      </c>
      <c r="D475" t="s">
        <v>731</v>
      </c>
      <c r="E475" s="15">
        <v>213.370697826</v>
      </c>
    </row>
    <row r="476" spans="1:5">
      <c r="A476" t="s">
        <v>1285</v>
      </c>
      <c r="B476" s="15">
        <v>1679</v>
      </c>
      <c r="D476" t="s">
        <v>732</v>
      </c>
      <c r="E476" s="15">
        <v>33830438</v>
      </c>
    </row>
    <row r="477" spans="1:5">
      <c r="A477" t="s">
        <v>1286</v>
      </c>
      <c r="B477" s="15">
        <v>42.58</v>
      </c>
      <c r="D477" t="s">
        <v>733</v>
      </c>
      <c r="E477" s="15">
        <v>0</v>
      </c>
    </row>
    <row r="478" spans="1:5">
      <c r="A478" t="s">
        <v>1287</v>
      </c>
      <c r="B478" s="15">
        <v>43</v>
      </c>
      <c r="D478" t="s">
        <v>734</v>
      </c>
      <c r="E478" s="15">
        <v>1</v>
      </c>
    </row>
    <row r="479" spans="1:5">
      <c r="A479" t="s">
        <v>1288</v>
      </c>
      <c r="B479" s="15">
        <v>42.46</v>
      </c>
      <c r="D479" t="s">
        <v>735</v>
      </c>
      <c r="E479" s="15">
        <v>210.95</v>
      </c>
    </row>
    <row r="480" spans="1:5">
      <c r="A480" t="s">
        <v>1289</v>
      </c>
      <c r="B480" s="15">
        <v>42.76</v>
      </c>
      <c r="D480" t="s">
        <v>736</v>
      </c>
      <c r="E480" s="15">
        <v>212.29</v>
      </c>
    </row>
    <row r="481" spans="1:5">
      <c r="A481" t="s">
        <v>1290</v>
      </c>
      <c r="B481" s="15">
        <v>2720</v>
      </c>
      <c r="D481" t="s">
        <v>737</v>
      </c>
      <c r="E481" s="15">
        <v>208.16</v>
      </c>
    </row>
    <row r="482" spans="1:5">
      <c r="A482" t="s">
        <v>1241</v>
      </c>
      <c r="B482" s="15">
        <v>41.52</v>
      </c>
      <c r="C482" s="26">
        <f>B482/B490-1</f>
        <v>-6.9361396795024621E-3</v>
      </c>
      <c r="D482" t="s">
        <v>738</v>
      </c>
      <c r="E482" s="15">
        <v>210.11</v>
      </c>
    </row>
    <row r="483" spans="1:5">
      <c r="A483" t="s">
        <v>1242</v>
      </c>
      <c r="B483" s="15">
        <v>42.2</v>
      </c>
      <c r="D483" t="s">
        <v>739</v>
      </c>
      <c r="E483" s="15">
        <v>209.62927766000001</v>
      </c>
    </row>
    <row r="484" spans="1:5">
      <c r="A484" t="s">
        <v>1243</v>
      </c>
      <c r="B484" s="15">
        <v>41.52</v>
      </c>
      <c r="D484" t="s">
        <v>740</v>
      </c>
      <c r="E484" s="15">
        <v>25683507</v>
      </c>
    </row>
    <row r="485" spans="1:5">
      <c r="A485" t="s">
        <v>1244</v>
      </c>
      <c r="B485" s="15">
        <v>42.07</v>
      </c>
      <c r="D485" t="s">
        <v>741</v>
      </c>
      <c r="E485" s="15">
        <v>0</v>
      </c>
    </row>
    <row r="486" spans="1:5">
      <c r="A486" t="s">
        <v>1245</v>
      </c>
      <c r="B486" s="15">
        <v>1614</v>
      </c>
      <c r="D486" t="s">
        <v>742</v>
      </c>
      <c r="E486" s="15">
        <v>1</v>
      </c>
    </row>
    <row r="487" spans="1:5">
      <c r="A487" t="s">
        <v>1246</v>
      </c>
      <c r="B487" s="15">
        <v>40.98</v>
      </c>
      <c r="D487" t="s">
        <v>743</v>
      </c>
      <c r="E487" s="15">
        <v>212.2</v>
      </c>
    </row>
    <row r="488" spans="1:5">
      <c r="A488" t="s">
        <v>1247</v>
      </c>
      <c r="B488" s="15">
        <v>41.81</v>
      </c>
      <c r="D488" t="s">
        <v>744</v>
      </c>
      <c r="E488" s="15">
        <v>213.285</v>
      </c>
    </row>
    <row r="489" spans="1:5">
      <c r="A489" t="s">
        <v>1248</v>
      </c>
      <c r="B489" s="15">
        <v>40.98</v>
      </c>
      <c r="D489" t="s">
        <v>745</v>
      </c>
      <c r="E489" s="15">
        <v>210</v>
      </c>
    </row>
    <row r="490" spans="1:5">
      <c r="A490" t="s">
        <v>1249</v>
      </c>
      <c r="B490" s="15">
        <v>41.81</v>
      </c>
      <c r="C490" s="26">
        <f>B490/B498-1</f>
        <v>3.056445649494699E-2</v>
      </c>
      <c r="D490" t="s">
        <v>746</v>
      </c>
      <c r="E490" s="15">
        <v>210.39</v>
      </c>
    </row>
    <row r="491" spans="1:5">
      <c r="A491" t="s">
        <v>1250</v>
      </c>
      <c r="B491" s="15">
        <v>390</v>
      </c>
      <c r="D491" t="s">
        <v>747</v>
      </c>
      <c r="E491" s="15">
        <v>209.908637032</v>
      </c>
    </row>
    <row r="492" spans="1:5">
      <c r="A492" t="s">
        <v>1251</v>
      </c>
      <c r="B492" s="15">
        <v>40.520000000000003</v>
      </c>
      <c r="D492" t="s">
        <v>748</v>
      </c>
      <c r="E492" s="15">
        <v>22843119</v>
      </c>
    </row>
    <row r="493" spans="1:5">
      <c r="A493" t="s">
        <v>1252</v>
      </c>
      <c r="B493" s="15">
        <v>40.93</v>
      </c>
      <c r="D493" t="s">
        <v>749</v>
      </c>
      <c r="E493" s="15">
        <v>0</v>
      </c>
    </row>
    <row r="494" spans="1:5">
      <c r="A494" t="s">
        <v>1253</v>
      </c>
      <c r="B494" s="15">
        <v>40.5</v>
      </c>
      <c r="D494" t="s">
        <v>750</v>
      </c>
      <c r="E494" s="15">
        <v>1</v>
      </c>
    </row>
    <row r="495" spans="1:5">
      <c r="A495" t="s">
        <v>1254</v>
      </c>
      <c r="B495" s="15">
        <v>40.93</v>
      </c>
      <c r="D495" t="s">
        <v>751</v>
      </c>
      <c r="E495" s="15">
        <v>211.38</v>
      </c>
    </row>
    <row r="496" spans="1:5">
      <c r="A496" t="s">
        <v>1255</v>
      </c>
      <c r="B496" s="15">
        <v>1108</v>
      </c>
      <c r="D496" t="s">
        <v>752</v>
      </c>
      <c r="E496" s="15">
        <v>213.03</v>
      </c>
    </row>
    <row r="497" spans="1:5">
      <c r="A497" t="s">
        <v>1256</v>
      </c>
      <c r="B497" s="15">
        <v>40.57</v>
      </c>
      <c r="D497" t="s">
        <v>753</v>
      </c>
      <c r="E497" s="15">
        <v>209.93</v>
      </c>
    </row>
    <row r="498" spans="1:5">
      <c r="A498" t="s">
        <v>1257</v>
      </c>
      <c r="B498" s="15">
        <v>40.57</v>
      </c>
      <c r="C498" s="26">
        <f>B498/B506-1</f>
        <v>-0.98067174845164362</v>
      </c>
      <c r="D498" t="s">
        <v>754</v>
      </c>
      <c r="E498" s="15">
        <v>212.42</v>
      </c>
    </row>
    <row r="499" spans="1:5">
      <c r="A499" t="s">
        <v>1258</v>
      </c>
      <c r="B499" s="15">
        <v>40.409999999999997</v>
      </c>
      <c r="D499" t="s">
        <v>755</v>
      </c>
      <c r="E499" s="15">
        <v>211.93399248200001</v>
      </c>
    </row>
    <row r="500" spans="1:5">
      <c r="A500" t="s">
        <v>1259</v>
      </c>
      <c r="B500" s="15">
        <v>40.409999999999997</v>
      </c>
      <c r="D500" t="s">
        <v>756</v>
      </c>
      <c r="E500" s="15">
        <v>24792746</v>
      </c>
    </row>
    <row r="501" spans="1:5">
      <c r="A501" t="s">
        <v>1260</v>
      </c>
      <c r="B501" s="15">
        <v>570</v>
      </c>
      <c r="D501" t="s">
        <v>757</v>
      </c>
      <c r="E501" s="15">
        <v>0</v>
      </c>
    </row>
    <row r="502" spans="1:5">
      <c r="A502" t="s">
        <v>1261</v>
      </c>
      <c r="B502" s="15">
        <v>40.82</v>
      </c>
      <c r="D502" t="s">
        <v>758</v>
      </c>
      <c r="E502" s="15">
        <v>1</v>
      </c>
    </row>
    <row r="503" spans="1:5">
      <c r="A503" t="s">
        <v>1262</v>
      </c>
      <c r="B503" s="15">
        <v>40.94</v>
      </c>
      <c r="D503" t="s">
        <v>759</v>
      </c>
      <c r="E503" s="15">
        <v>213.65</v>
      </c>
    </row>
    <row r="504" spans="1:5">
      <c r="A504" t="s">
        <v>1263</v>
      </c>
      <c r="B504" s="15">
        <v>40.21</v>
      </c>
      <c r="D504" t="s">
        <v>760</v>
      </c>
      <c r="E504" s="15">
        <v>215.17</v>
      </c>
    </row>
    <row r="505" spans="1:5">
      <c r="A505" t="s">
        <v>1264</v>
      </c>
      <c r="B505" s="15">
        <v>40.94</v>
      </c>
      <c r="D505" t="s">
        <v>761</v>
      </c>
      <c r="E505" s="15">
        <v>210.93</v>
      </c>
    </row>
    <row r="506" spans="1:5">
      <c r="A506" t="s">
        <v>1265</v>
      </c>
      <c r="B506" s="15">
        <v>2099</v>
      </c>
      <c r="C506" s="26" t="e">
        <f>B506/B514-1</f>
        <v>#DIV/0!</v>
      </c>
      <c r="D506" t="s">
        <v>762</v>
      </c>
      <c r="E506" s="15">
        <v>211.08</v>
      </c>
    </row>
    <row r="507" spans="1:5">
      <c r="D507" t="s">
        <v>763</v>
      </c>
      <c r="E507" s="15">
        <v>210.59705834299999</v>
      </c>
    </row>
    <row r="508" spans="1:5">
      <c r="D508" t="s">
        <v>764</v>
      </c>
      <c r="E508" s="15">
        <v>28372789</v>
      </c>
    </row>
    <row r="509" spans="1:5">
      <c r="D509" t="s">
        <v>765</v>
      </c>
      <c r="E509" s="15">
        <v>0.56000000000000005</v>
      </c>
    </row>
    <row r="510" spans="1:5">
      <c r="D510" t="s">
        <v>766</v>
      </c>
      <c r="E510" s="15">
        <v>1</v>
      </c>
    </row>
    <row r="511" spans="1:5">
      <c r="D511" t="s">
        <v>767</v>
      </c>
      <c r="E511" s="15">
        <v>216.1</v>
      </c>
    </row>
    <row r="512" spans="1:5">
      <c r="D512" t="s">
        <v>768</v>
      </c>
      <c r="E512" s="15">
        <v>217.68</v>
      </c>
    </row>
    <row r="513" spans="3:5">
      <c r="D513" t="s">
        <v>769</v>
      </c>
      <c r="E513" s="15">
        <v>214.08</v>
      </c>
    </row>
    <row r="514" spans="3:5">
      <c r="C514" s="26" t="e">
        <f>B514/B522-1</f>
        <v>#DIV/0!</v>
      </c>
      <c r="D514" t="s">
        <v>770</v>
      </c>
      <c r="E514" s="15">
        <v>214.46</v>
      </c>
    </row>
    <row r="515" spans="3:5">
      <c r="D515" t="s">
        <v>771</v>
      </c>
      <c r="E515" s="15">
        <v>213.40316165300001</v>
      </c>
    </row>
    <row r="516" spans="3:5">
      <c r="D516" t="s">
        <v>772</v>
      </c>
      <c r="E516" s="15">
        <v>24154112</v>
      </c>
    </row>
    <row r="517" spans="3:5">
      <c r="D517" t="s">
        <v>773</v>
      </c>
      <c r="E517" s="15">
        <v>0</v>
      </c>
    </row>
    <row r="518" spans="3:5">
      <c r="D518" t="s">
        <v>774</v>
      </c>
      <c r="E518" s="15">
        <v>1</v>
      </c>
    </row>
    <row r="519" spans="3:5">
      <c r="D519" t="s">
        <v>775</v>
      </c>
      <c r="E519" s="15">
        <v>214.87</v>
      </c>
    </row>
    <row r="520" spans="3:5">
      <c r="D520" t="s">
        <v>776</v>
      </c>
      <c r="E520" s="15">
        <v>217.74</v>
      </c>
    </row>
    <row r="521" spans="3:5">
      <c r="D521" t="s">
        <v>777</v>
      </c>
      <c r="E521" s="15">
        <v>214.52</v>
      </c>
    </row>
    <row r="522" spans="3:5">
      <c r="C522" s="26" t="e">
        <f>B522/B530-1</f>
        <v>#DIV/0!</v>
      </c>
      <c r="D522" t="s">
        <v>778</v>
      </c>
      <c r="E522" s="15">
        <v>217.23</v>
      </c>
    </row>
    <row r="523" spans="3:5">
      <c r="D523" t="s">
        <v>779</v>
      </c>
      <c r="E523" s="15">
        <v>216.159511358</v>
      </c>
    </row>
    <row r="524" spans="3:5">
      <c r="D524" t="s">
        <v>780</v>
      </c>
      <c r="E524" s="15">
        <v>24953344</v>
      </c>
    </row>
    <row r="525" spans="3:5">
      <c r="D525" t="s">
        <v>781</v>
      </c>
      <c r="E525" s="15">
        <v>0</v>
      </c>
    </row>
    <row r="526" spans="3:5">
      <c r="D526" t="s">
        <v>782</v>
      </c>
      <c r="E526" s="15">
        <v>1</v>
      </c>
    </row>
    <row r="527" spans="3:5">
      <c r="D527" t="s">
        <v>783</v>
      </c>
      <c r="E527" s="15">
        <v>216.36</v>
      </c>
    </row>
    <row r="528" spans="3:5">
      <c r="D528" t="s">
        <v>784</v>
      </c>
      <c r="E528" s="15">
        <v>217.42</v>
      </c>
    </row>
    <row r="529" spans="3:5">
      <c r="D529" t="s">
        <v>785</v>
      </c>
      <c r="E529" s="15">
        <v>214.16</v>
      </c>
    </row>
    <row r="530" spans="3:5">
      <c r="C530" s="26" t="e">
        <f>B530/B538-1</f>
        <v>#DIV/0!</v>
      </c>
      <c r="D530" t="s">
        <v>786</v>
      </c>
      <c r="E530" s="15">
        <v>216.51</v>
      </c>
    </row>
    <row r="531" spans="3:5">
      <c r="D531" t="s">
        <v>787</v>
      </c>
      <c r="E531" s="15">
        <v>215.443059449</v>
      </c>
    </row>
    <row r="532" spans="3:5">
      <c r="D532" t="s">
        <v>788</v>
      </c>
      <c r="E532" s="15">
        <v>18630307</v>
      </c>
    </row>
    <row r="533" spans="3:5">
      <c r="D533" t="s">
        <v>789</v>
      </c>
      <c r="E533" s="15">
        <v>0</v>
      </c>
    </row>
    <row r="534" spans="3:5">
      <c r="D534" t="s">
        <v>790</v>
      </c>
      <c r="E534" s="15">
        <v>1</v>
      </c>
    </row>
    <row r="535" spans="3:5">
      <c r="D535" t="s">
        <v>791</v>
      </c>
      <c r="E535" s="15">
        <v>217.21</v>
      </c>
    </row>
    <row r="536" spans="3:5">
      <c r="D536" t="s">
        <v>792</v>
      </c>
      <c r="E536" s="15">
        <v>219.11</v>
      </c>
    </row>
    <row r="537" spans="3:5">
      <c r="D537" t="s">
        <v>793</v>
      </c>
      <c r="E537" s="15">
        <v>214.46</v>
      </c>
    </row>
    <row r="538" spans="3:5">
      <c r="C538" s="26" t="e">
        <f>B538/B546-1</f>
        <v>#DIV/0!</v>
      </c>
      <c r="D538" t="s">
        <v>794</v>
      </c>
      <c r="E538" s="15">
        <v>215.44</v>
      </c>
    </row>
    <row r="539" spans="3:5">
      <c r="D539" t="s">
        <v>795</v>
      </c>
      <c r="E539" s="15">
        <v>214.37833230699999</v>
      </c>
    </row>
    <row r="540" spans="3:5">
      <c r="D540" t="s">
        <v>796</v>
      </c>
      <c r="E540" s="15">
        <v>21616115</v>
      </c>
    </row>
    <row r="541" spans="3:5">
      <c r="D541" t="s">
        <v>797</v>
      </c>
      <c r="E541" s="15">
        <v>0</v>
      </c>
    </row>
    <row r="542" spans="3:5">
      <c r="D542" t="s">
        <v>798</v>
      </c>
      <c r="E542" s="15">
        <v>1</v>
      </c>
    </row>
    <row r="543" spans="3:5">
      <c r="D543" t="s">
        <v>799</v>
      </c>
      <c r="E543" s="15">
        <v>212.39</v>
      </c>
    </row>
    <row r="544" spans="3:5">
      <c r="D544" t="s">
        <v>800</v>
      </c>
      <c r="E544" s="15">
        <v>218.04</v>
      </c>
    </row>
    <row r="545" spans="3:5">
      <c r="D545" t="s">
        <v>801</v>
      </c>
      <c r="E545" s="15">
        <v>212.2</v>
      </c>
    </row>
    <row r="546" spans="3:5">
      <c r="C546" s="26" t="e">
        <f>B546/B554-1</f>
        <v>#DIV/0!</v>
      </c>
      <c r="D546" t="s">
        <v>802</v>
      </c>
      <c r="E546" s="15">
        <v>216.55</v>
      </c>
    </row>
    <row r="547" spans="3:5">
      <c r="D547" t="s">
        <v>803</v>
      </c>
      <c r="E547" s="15">
        <v>215.48286233300001</v>
      </c>
    </row>
    <row r="548" spans="3:5">
      <c r="D548" t="s">
        <v>804</v>
      </c>
      <c r="E548" s="15">
        <v>29440788</v>
      </c>
    </row>
    <row r="549" spans="3:5">
      <c r="D549" t="s">
        <v>805</v>
      </c>
      <c r="E549" s="15">
        <v>0</v>
      </c>
    </row>
    <row r="550" spans="3:5">
      <c r="D550" t="s">
        <v>806</v>
      </c>
      <c r="E550" s="15">
        <v>1</v>
      </c>
    </row>
    <row r="551" spans="3:5">
      <c r="D551" t="s">
        <v>807</v>
      </c>
      <c r="E551" s="15">
        <v>214.5</v>
      </c>
    </row>
    <row r="552" spans="3:5">
      <c r="D552" t="s">
        <v>808</v>
      </c>
      <c r="E552" s="15">
        <v>216.5</v>
      </c>
    </row>
    <row r="553" spans="3:5">
      <c r="D553" t="s">
        <v>809</v>
      </c>
      <c r="E553" s="15">
        <v>209.72</v>
      </c>
    </row>
    <row r="554" spans="3:5">
      <c r="C554" s="26" t="e">
        <f>B554/B562-1</f>
        <v>#DIV/0!</v>
      </c>
      <c r="D554" t="s">
        <v>810</v>
      </c>
      <c r="E554" s="15">
        <v>211.01</v>
      </c>
    </row>
    <row r="555" spans="3:5">
      <c r="D555" t="s">
        <v>811</v>
      </c>
      <c r="E555" s="15">
        <v>209.970162923</v>
      </c>
    </row>
    <row r="556" spans="3:5">
      <c r="D556" t="s">
        <v>812</v>
      </c>
      <c r="E556" s="15">
        <v>44045120</v>
      </c>
    </row>
    <row r="557" spans="3:5">
      <c r="D557" t="s">
        <v>813</v>
      </c>
      <c r="E557" s="15">
        <v>0</v>
      </c>
    </row>
    <row r="558" spans="3:5">
      <c r="D558" t="s">
        <v>814</v>
      </c>
      <c r="E558" s="15">
        <v>1</v>
      </c>
    </row>
    <row r="559" spans="3:5">
      <c r="D559" t="s">
        <v>815</v>
      </c>
      <c r="E559" s="15">
        <v>224.435</v>
      </c>
    </row>
    <row r="560" spans="3:5">
      <c r="D560" t="s">
        <v>816</v>
      </c>
      <c r="E560" s="15">
        <v>228.12</v>
      </c>
    </row>
    <row r="561" spans="3:5">
      <c r="D561" t="s">
        <v>817</v>
      </c>
      <c r="E561" s="15">
        <v>217.88</v>
      </c>
    </row>
    <row r="562" spans="3:5">
      <c r="C562" s="26" t="e">
        <f>B562/B570-1</f>
        <v>#DIV/0!</v>
      </c>
      <c r="D562" t="s">
        <v>818</v>
      </c>
      <c r="E562" s="15">
        <v>218.39</v>
      </c>
    </row>
    <row r="563" spans="3:5">
      <c r="D563" t="s">
        <v>819</v>
      </c>
      <c r="E563" s="15">
        <v>217.313794989</v>
      </c>
    </row>
    <row r="564" spans="3:5">
      <c r="D564" t="s">
        <v>820</v>
      </c>
      <c r="E564" s="15">
        <v>44394950</v>
      </c>
    </row>
    <row r="565" spans="3:5">
      <c r="D565" t="s">
        <v>821</v>
      </c>
      <c r="E565" s="15">
        <v>0</v>
      </c>
    </row>
    <row r="566" spans="3:5">
      <c r="D566" t="s">
        <v>822</v>
      </c>
      <c r="E566" s="15">
        <v>1</v>
      </c>
    </row>
    <row r="567" spans="3:5">
      <c r="D567" t="s">
        <v>823</v>
      </c>
      <c r="E567" s="15">
        <v>222.26</v>
      </c>
    </row>
    <row r="568" spans="3:5">
      <c r="D568" t="s">
        <v>824</v>
      </c>
      <c r="E568" s="15">
        <v>224.36</v>
      </c>
    </row>
    <row r="569" spans="3:5">
      <c r="D569" t="s">
        <v>825</v>
      </c>
      <c r="E569" s="15">
        <v>218.03</v>
      </c>
    </row>
    <row r="570" spans="3:5">
      <c r="C570" s="26" t="e">
        <f>B570/B578-1</f>
        <v>#DIV/0!</v>
      </c>
      <c r="D570" t="s">
        <v>826</v>
      </c>
      <c r="E570" s="15">
        <v>223.72</v>
      </c>
    </row>
    <row r="571" spans="3:5">
      <c r="D571" t="s">
        <v>827</v>
      </c>
      <c r="E571" s="15">
        <v>222.61752925900001</v>
      </c>
    </row>
    <row r="572" spans="3:5">
      <c r="D572" t="s">
        <v>828</v>
      </c>
      <c r="E572" s="15">
        <v>25231895</v>
      </c>
    </row>
    <row r="573" spans="3:5">
      <c r="D573" t="s">
        <v>829</v>
      </c>
      <c r="E573" s="15">
        <v>0</v>
      </c>
    </row>
    <row r="574" spans="3:5">
      <c r="D574" t="s">
        <v>830</v>
      </c>
      <c r="E574" s="15">
        <v>1</v>
      </c>
    </row>
    <row r="575" spans="3:5">
      <c r="D575" t="s">
        <v>831</v>
      </c>
      <c r="E575" s="15">
        <v>222.04</v>
      </c>
    </row>
    <row r="576" spans="3:5">
      <c r="D576" t="s">
        <v>832</v>
      </c>
      <c r="E576" s="15">
        <v>224.12</v>
      </c>
    </row>
    <row r="577" spans="3:5">
      <c r="D577" t="s">
        <v>833</v>
      </c>
      <c r="E577" s="15">
        <v>221.15</v>
      </c>
    </row>
    <row r="578" spans="3:5">
      <c r="C578" s="26" t="e">
        <f>B578/B586-1</f>
        <v>#DIV/0!</v>
      </c>
      <c r="D578" t="s">
        <v>834</v>
      </c>
      <c r="E578" s="15">
        <v>223.29</v>
      </c>
    </row>
    <row r="579" spans="3:5">
      <c r="D579" t="s">
        <v>835</v>
      </c>
      <c r="E579" s="15">
        <v>222.18964825800001</v>
      </c>
    </row>
    <row r="580" spans="3:5">
      <c r="D580" t="s">
        <v>836</v>
      </c>
      <c r="E580" s="15">
        <v>36080137</v>
      </c>
    </row>
    <row r="581" spans="3:5">
      <c r="D581" t="s">
        <v>837</v>
      </c>
      <c r="E581" s="15">
        <v>0</v>
      </c>
    </row>
    <row r="582" spans="3:5">
      <c r="D582" t="s">
        <v>838</v>
      </c>
      <c r="E582" s="15">
        <v>1</v>
      </c>
    </row>
    <row r="583" spans="3:5">
      <c r="D583" t="s">
        <v>839</v>
      </c>
      <c r="E583" s="15">
        <v>214.02</v>
      </c>
    </row>
    <row r="584" spans="3:5">
      <c r="D584" t="s">
        <v>840</v>
      </c>
      <c r="E584" s="15">
        <v>218.32</v>
      </c>
    </row>
    <row r="585" spans="3:5">
      <c r="D585" t="s">
        <v>841</v>
      </c>
      <c r="E585" s="15">
        <v>212.41849999999999</v>
      </c>
    </row>
    <row r="586" spans="3:5">
      <c r="C586" s="26" t="e">
        <f>B586/B594-1</f>
        <v>#DIV/0!</v>
      </c>
      <c r="D586" t="s">
        <v>842</v>
      </c>
      <c r="E586" s="15">
        <v>216.39</v>
      </c>
    </row>
    <row r="587" spans="3:5">
      <c r="D587" t="s">
        <v>843</v>
      </c>
      <c r="E587" s="15">
        <v>215.32365079799999</v>
      </c>
    </row>
    <row r="588" spans="3:5">
      <c r="D588" t="s">
        <v>844</v>
      </c>
      <c r="E588" s="15">
        <v>42311777</v>
      </c>
    </row>
    <row r="589" spans="3:5">
      <c r="D589" t="s">
        <v>845</v>
      </c>
      <c r="E589" s="15">
        <v>0</v>
      </c>
    </row>
    <row r="590" spans="3:5">
      <c r="D590" t="s">
        <v>846</v>
      </c>
      <c r="E590" s="15">
        <v>1</v>
      </c>
    </row>
    <row r="591" spans="3:5">
      <c r="D591" t="s">
        <v>847</v>
      </c>
      <c r="E591" s="15">
        <v>203.89</v>
      </c>
    </row>
    <row r="592" spans="3:5">
      <c r="D592" t="s">
        <v>848</v>
      </c>
      <c r="E592" s="15">
        <v>208.12</v>
      </c>
    </row>
    <row r="593" spans="3:5">
      <c r="D593" t="s">
        <v>849</v>
      </c>
      <c r="E593" s="15">
        <v>203.12</v>
      </c>
    </row>
    <row r="594" spans="3:5">
      <c r="C594" s="26" t="e">
        <f>B594/B602-1</f>
        <v>#DIV/0!</v>
      </c>
      <c r="D594" t="s">
        <v>850</v>
      </c>
      <c r="E594" s="15">
        <v>206.43</v>
      </c>
    </row>
    <row r="595" spans="3:5">
      <c r="D595" t="s">
        <v>851</v>
      </c>
      <c r="E595" s="15">
        <v>205.41273272399999</v>
      </c>
    </row>
    <row r="596" spans="3:5">
      <c r="D596" t="s">
        <v>852</v>
      </c>
      <c r="E596" s="15">
        <v>27512030</v>
      </c>
    </row>
    <row r="597" spans="3:5">
      <c r="D597" t="s">
        <v>853</v>
      </c>
      <c r="E597" s="15">
        <v>0</v>
      </c>
    </row>
    <row r="598" spans="3:5">
      <c r="D598" t="s">
        <v>854</v>
      </c>
      <c r="E598" s="15">
        <v>1</v>
      </c>
    </row>
    <row r="599" spans="3:5">
      <c r="D599" t="s">
        <v>855</v>
      </c>
      <c r="E599" s="15">
        <v>204.29</v>
      </c>
    </row>
    <row r="600" spans="3:5">
      <c r="D600" t="s">
        <v>856</v>
      </c>
      <c r="E600" s="15">
        <v>205.28</v>
      </c>
    </row>
    <row r="601" spans="3:5">
      <c r="D601" t="s">
        <v>857</v>
      </c>
      <c r="E601" s="15">
        <v>200.12</v>
      </c>
    </row>
    <row r="602" spans="3:5">
      <c r="C602" s="26" t="e">
        <f>B602/B610-1</f>
        <v>#DIV/0!</v>
      </c>
      <c r="D602" t="s">
        <v>858</v>
      </c>
      <c r="E602" s="15">
        <v>202.33</v>
      </c>
    </row>
    <row r="603" spans="3:5">
      <c r="D603" t="s">
        <v>859</v>
      </c>
      <c r="E603" s="15">
        <v>201.33293713200001</v>
      </c>
    </row>
    <row r="604" spans="3:5">
      <c r="D604" t="s">
        <v>860</v>
      </c>
      <c r="E604" s="15">
        <v>30842163</v>
      </c>
    </row>
    <row r="605" spans="3:5">
      <c r="D605" t="s">
        <v>861</v>
      </c>
      <c r="E605" s="15">
        <v>0</v>
      </c>
    </row>
    <row r="606" spans="3:5">
      <c r="D606" t="s">
        <v>862</v>
      </c>
      <c r="E606" s="15">
        <v>1</v>
      </c>
    </row>
    <row r="607" spans="3:5">
      <c r="D607" t="s">
        <v>863</v>
      </c>
      <c r="E607" s="15">
        <v>203.5</v>
      </c>
    </row>
    <row r="608" spans="3:5">
      <c r="D608" t="s">
        <v>864</v>
      </c>
      <c r="E608" s="15">
        <v>204.29</v>
      </c>
    </row>
    <row r="609" spans="3:5">
      <c r="D609" t="s">
        <v>865</v>
      </c>
      <c r="E609" s="15">
        <v>199.62</v>
      </c>
    </row>
    <row r="610" spans="3:5">
      <c r="C610" s="26" t="e">
        <f>B610/B618-1</f>
        <v>#DIV/0!</v>
      </c>
      <c r="D610" t="s">
        <v>866</v>
      </c>
      <c r="E610" s="15">
        <v>202.47</v>
      </c>
    </row>
    <row r="611" spans="3:5">
      <c r="D611" t="s">
        <v>867</v>
      </c>
      <c r="E611" s="15">
        <v>201.47224722499999</v>
      </c>
    </row>
    <row r="612" spans="3:5">
      <c r="D612" t="s">
        <v>868</v>
      </c>
      <c r="E612" s="15">
        <v>36980111</v>
      </c>
    </row>
    <row r="613" spans="3:5">
      <c r="D613" t="s">
        <v>869</v>
      </c>
      <c r="E613" s="15">
        <v>0</v>
      </c>
    </row>
    <row r="614" spans="3:5">
      <c r="D614" t="s">
        <v>870</v>
      </c>
      <c r="E614" s="15">
        <v>1</v>
      </c>
    </row>
    <row r="615" spans="3:5">
      <c r="D615" t="s">
        <v>871</v>
      </c>
      <c r="E615" s="15">
        <v>204.07</v>
      </c>
    </row>
    <row r="616" spans="3:5">
      <c r="D616" t="s">
        <v>872</v>
      </c>
      <c r="E616" s="15">
        <v>207.36</v>
      </c>
    </row>
    <row r="617" spans="3:5">
      <c r="D617" t="s">
        <v>873</v>
      </c>
      <c r="E617" s="15">
        <v>203.37</v>
      </c>
    </row>
    <row r="618" spans="3:5">
      <c r="C618" s="26" t="e">
        <f>B618/B626-1</f>
        <v>#DIV/0!</v>
      </c>
      <c r="D618" t="s">
        <v>874</v>
      </c>
      <c r="E618" s="15">
        <v>204.72</v>
      </c>
    </row>
    <row r="619" spans="3:5">
      <c r="D619" t="s">
        <v>875</v>
      </c>
      <c r="E619" s="15">
        <v>203.71115943999999</v>
      </c>
    </row>
    <row r="620" spans="3:5">
      <c r="D620" t="s">
        <v>876</v>
      </c>
      <c r="E620" s="15">
        <v>31432563</v>
      </c>
    </row>
    <row r="621" spans="3:5">
      <c r="D621" t="s">
        <v>877</v>
      </c>
      <c r="E621" s="15">
        <v>0</v>
      </c>
    </row>
    <row r="622" spans="3:5">
      <c r="D622" t="s">
        <v>878</v>
      </c>
      <c r="E622" s="15">
        <v>1</v>
      </c>
    </row>
    <row r="623" spans="3:5">
      <c r="D623" t="s">
        <v>879</v>
      </c>
      <c r="E623" s="15">
        <v>207.67</v>
      </c>
    </row>
    <row r="624" spans="3:5">
      <c r="D624" t="s">
        <v>880</v>
      </c>
      <c r="E624" s="15">
        <v>208.84</v>
      </c>
    </row>
    <row r="625" spans="3:5">
      <c r="D625" t="s">
        <v>881</v>
      </c>
      <c r="E625" s="15">
        <v>202.1</v>
      </c>
    </row>
    <row r="626" spans="3:5">
      <c r="C626" s="26" t="e">
        <f>B626/B634-1</f>
        <v>#DIV/0!</v>
      </c>
      <c r="D626" t="s">
        <v>882</v>
      </c>
      <c r="E626" s="15">
        <v>202.68</v>
      </c>
    </row>
    <row r="627" spans="3:5">
      <c r="D627" t="s">
        <v>883</v>
      </c>
      <c r="E627" s="15">
        <v>201.68121236499999</v>
      </c>
    </row>
    <row r="628" spans="3:5">
      <c r="D628" t="s">
        <v>884</v>
      </c>
      <c r="E628" s="15">
        <v>51195593</v>
      </c>
    </row>
    <row r="629" spans="3:5">
      <c r="D629" t="s">
        <v>885</v>
      </c>
      <c r="E629" s="15">
        <v>0</v>
      </c>
    </row>
    <row r="630" spans="3:5">
      <c r="D630" t="s">
        <v>886</v>
      </c>
      <c r="E630" s="15">
        <v>1</v>
      </c>
    </row>
    <row r="631" spans="3:5">
      <c r="D631" t="s">
        <v>887</v>
      </c>
      <c r="E631" s="15">
        <v>211.59</v>
      </c>
    </row>
    <row r="632" spans="3:5">
      <c r="D632" t="s">
        <v>888</v>
      </c>
      <c r="E632" s="15">
        <v>214.67</v>
      </c>
    </row>
    <row r="633" spans="3:5">
      <c r="D633" t="s">
        <v>889</v>
      </c>
      <c r="E633" s="15">
        <v>210.32900000000001</v>
      </c>
    </row>
    <row r="634" spans="3:5">
      <c r="C634" s="26" t="e">
        <f>B634/B642-1</f>
        <v>#DIV/0!</v>
      </c>
      <c r="D634" t="s">
        <v>890</v>
      </c>
      <c r="E634" s="15">
        <v>213.25</v>
      </c>
    </row>
    <row r="635" spans="3:5">
      <c r="D635" t="s">
        <v>891</v>
      </c>
      <c r="E635" s="15">
        <v>212.19912441700001</v>
      </c>
    </row>
    <row r="636" spans="3:5">
      <c r="D636" t="s">
        <v>892</v>
      </c>
      <c r="E636" s="15">
        <v>36700325</v>
      </c>
    </row>
    <row r="637" spans="3:5">
      <c r="D637" t="s">
        <v>893</v>
      </c>
      <c r="E637" s="15">
        <v>0</v>
      </c>
    </row>
    <row r="638" spans="3:5">
      <c r="D638" t="s">
        <v>894</v>
      </c>
      <c r="E638" s="15">
        <v>1</v>
      </c>
    </row>
    <row r="639" spans="3:5">
      <c r="D639" t="s">
        <v>895</v>
      </c>
      <c r="E639" s="15">
        <v>213.85</v>
      </c>
    </row>
    <row r="640" spans="3:5">
      <c r="D640" t="s">
        <v>896</v>
      </c>
      <c r="E640" s="15">
        <v>216.3399</v>
      </c>
    </row>
    <row r="641" spans="3:5">
      <c r="D641" t="s">
        <v>897</v>
      </c>
      <c r="E641" s="15">
        <v>208.1</v>
      </c>
    </row>
    <row r="642" spans="3:5">
      <c r="C642" s="26" t="e">
        <f>B642/B650-1</f>
        <v>#DIV/0!</v>
      </c>
      <c r="D642" t="s">
        <v>898</v>
      </c>
      <c r="E642" s="15">
        <v>210.08</v>
      </c>
    </row>
    <row r="643" spans="3:5">
      <c r="D643" t="s">
        <v>899</v>
      </c>
      <c r="E643" s="15">
        <v>209.044745874</v>
      </c>
    </row>
    <row r="644" spans="3:5">
      <c r="D644" t="s">
        <v>900</v>
      </c>
      <c r="E644" s="15">
        <v>37111561</v>
      </c>
    </row>
    <row r="645" spans="3:5">
      <c r="D645" t="s">
        <v>901</v>
      </c>
      <c r="E645" s="15">
        <v>0</v>
      </c>
    </row>
    <row r="646" spans="3:5">
      <c r="D646" t="s">
        <v>902</v>
      </c>
      <c r="E646" s="15">
        <v>1</v>
      </c>
    </row>
    <row r="647" spans="3:5">
      <c r="D647" t="s">
        <v>903</v>
      </c>
      <c r="E647" s="15">
        <v>215.03</v>
      </c>
    </row>
    <row r="648" spans="3:5">
      <c r="D648" t="s">
        <v>904</v>
      </c>
      <c r="E648" s="15">
        <v>216.28</v>
      </c>
    </row>
    <row r="649" spans="3:5">
      <c r="D649" t="s">
        <v>905</v>
      </c>
      <c r="E649" s="15">
        <v>213.16</v>
      </c>
    </row>
    <row r="650" spans="3:5">
      <c r="C650" s="26" t="e">
        <f>B650/B658-1</f>
        <v>#DIV/0!</v>
      </c>
      <c r="D650" t="s">
        <v>906</v>
      </c>
      <c r="E650" s="15">
        <v>216.23</v>
      </c>
    </row>
    <row r="651" spans="3:5">
      <c r="D651" t="s">
        <v>907</v>
      </c>
      <c r="E651" s="15">
        <v>215.164439262</v>
      </c>
    </row>
    <row r="652" spans="3:5">
      <c r="D652" t="s">
        <v>908</v>
      </c>
      <c r="E652" s="15">
        <v>18879608</v>
      </c>
    </row>
    <row r="653" spans="3:5">
      <c r="D653" t="s">
        <v>909</v>
      </c>
      <c r="E653" s="15">
        <v>0</v>
      </c>
    </row>
    <row r="654" spans="3:5">
      <c r="D654" t="s">
        <v>910</v>
      </c>
      <c r="E654" s="15">
        <v>1</v>
      </c>
    </row>
    <row r="655" spans="3:5">
      <c r="D655" t="s">
        <v>911</v>
      </c>
      <c r="E655" s="15">
        <v>213.93</v>
      </c>
    </row>
    <row r="656" spans="3:5">
      <c r="D656" t="s">
        <v>912</v>
      </c>
      <c r="E656" s="15">
        <v>216.05500000000001</v>
      </c>
    </row>
    <row r="657" spans="3:5">
      <c r="D657" t="s">
        <v>913</v>
      </c>
      <c r="E657" s="15">
        <v>211.7</v>
      </c>
    </row>
    <row r="658" spans="3:5">
      <c r="C658" s="26" t="e">
        <f>B658/B666-1</f>
        <v>#DIV/0!</v>
      </c>
      <c r="D658" t="s">
        <v>914</v>
      </c>
      <c r="E658" s="15">
        <v>214.89</v>
      </c>
    </row>
    <row r="659" spans="3:5">
      <c r="D659" t="s">
        <v>915</v>
      </c>
      <c r="E659" s="15">
        <v>213.83104265399999</v>
      </c>
    </row>
    <row r="660" spans="3:5">
      <c r="D660" t="s">
        <v>916</v>
      </c>
      <c r="E660" s="15">
        <v>22351450</v>
      </c>
    </row>
    <row r="661" spans="3:5">
      <c r="D661" t="s">
        <v>917</v>
      </c>
      <c r="E661" s="15">
        <v>0</v>
      </c>
    </row>
    <row r="662" spans="3:5">
      <c r="D662" t="s">
        <v>918</v>
      </c>
      <c r="E662" s="15">
        <v>1</v>
      </c>
    </row>
    <row r="663" spans="3:5">
      <c r="D663" t="s">
        <v>919</v>
      </c>
      <c r="E663" s="15">
        <v>213.12</v>
      </c>
    </row>
    <row r="664" spans="3:5">
      <c r="D664" t="s">
        <v>920</v>
      </c>
      <c r="E664" s="15">
        <v>216.92</v>
      </c>
    </row>
    <row r="665" spans="3:5">
      <c r="D665" t="s">
        <v>921</v>
      </c>
      <c r="E665" s="15">
        <v>213.12</v>
      </c>
    </row>
    <row r="666" spans="3:5">
      <c r="C666" s="26" t="e">
        <f>B666/B674-1</f>
        <v>#DIV/0!</v>
      </c>
      <c r="D666" t="s">
        <v>922</v>
      </c>
      <c r="E666" s="15">
        <v>214.8</v>
      </c>
    </row>
    <row r="667" spans="3:5">
      <c r="D667" t="s">
        <v>923</v>
      </c>
      <c r="E667" s="15">
        <v>213.741486165</v>
      </c>
    </row>
    <row r="668" spans="3:5">
      <c r="D668" t="s">
        <v>924</v>
      </c>
      <c r="E668" s="15">
        <v>22724906</v>
      </c>
    </row>
    <row r="669" spans="3:5">
      <c r="D669" t="s">
        <v>925</v>
      </c>
      <c r="E669" s="15">
        <v>0</v>
      </c>
    </row>
    <row r="670" spans="3:5">
      <c r="D670" t="s">
        <v>926</v>
      </c>
      <c r="E670" s="15">
        <v>1</v>
      </c>
    </row>
    <row r="671" spans="3:5">
      <c r="D671" t="s">
        <v>927</v>
      </c>
      <c r="E671" s="15">
        <v>215.8</v>
      </c>
    </row>
    <row r="672" spans="3:5">
      <c r="D672" t="s">
        <v>928</v>
      </c>
      <c r="E672" s="15">
        <v>217.37</v>
      </c>
    </row>
    <row r="673" spans="3:5">
      <c r="D673" t="s">
        <v>929</v>
      </c>
      <c r="E673" s="15">
        <v>213.09010000000001</v>
      </c>
    </row>
    <row r="674" spans="3:5">
      <c r="C674" s="26" t="e">
        <f>B674/B682-1</f>
        <v>#DIV/0!</v>
      </c>
      <c r="D674" t="s">
        <v>930</v>
      </c>
      <c r="E674" s="15">
        <v>214.65</v>
      </c>
    </row>
    <row r="675" spans="3:5">
      <c r="D675" t="s">
        <v>931</v>
      </c>
      <c r="E675" s="15">
        <v>213.592225351</v>
      </c>
    </row>
    <row r="676" spans="3:5">
      <c r="D676" t="s">
        <v>932</v>
      </c>
      <c r="E676" s="15">
        <v>22753511</v>
      </c>
    </row>
    <row r="677" spans="3:5">
      <c r="D677" t="s">
        <v>933</v>
      </c>
      <c r="E677" s="15">
        <v>0</v>
      </c>
    </row>
    <row r="678" spans="3:5">
      <c r="D678" t="s">
        <v>934</v>
      </c>
      <c r="E678" s="15">
        <v>1</v>
      </c>
    </row>
    <row r="679" spans="3:5">
      <c r="D679" t="s">
        <v>935</v>
      </c>
      <c r="E679" s="15">
        <v>220.41499999999999</v>
      </c>
    </row>
    <row r="680" spans="3:5">
      <c r="D680" t="s">
        <v>936</v>
      </c>
      <c r="E680" s="15">
        <v>222.3</v>
      </c>
    </row>
    <row r="681" spans="3:5">
      <c r="D681" t="s">
        <v>937</v>
      </c>
      <c r="E681" s="15">
        <v>213.72</v>
      </c>
    </row>
    <row r="682" spans="3:5">
      <c r="C682" s="26" t="e">
        <f>B682/B690-1</f>
        <v>#DIV/0!</v>
      </c>
      <c r="D682" t="s">
        <v>938</v>
      </c>
      <c r="E682" s="15">
        <v>214.22</v>
      </c>
    </row>
    <row r="683" spans="3:5">
      <c r="D683" t="s">
        <v>939</v>
      </c>
      <c r="E683" s="15">
        <v>213.16434434999999</v>
      </c>
    </row>
    <row r="684" spans="3:5">
      <c r="D684" t="s">
        <v>940</v>
      </c>
      <c r="E684" s="15">
        <v>27625841</v>
      </c>
    </row>
    <row r="685" spans="3:5">
      <c r="D685" t="s">
        <v>941</v>
      </c>
      <c r="E685" s="15">
        <v>0</v>
      </c>
    </row>
    <row r="686" spans="3:5">
      <c r="D686" t="s">
        <v>942</v>
      </c>
      <c r="E686" s="15">
        <v>1</v>
      </c>
    </row>
    <row r="687" spans="3:5">
      <c r="D687" t="s">
        <v>943</v>
      </c>
      <c r="E687" s="15">
        <v>220.15</v>
      </c>
    </row>
    <row r="688" spans="3:5">
      <c r="D688" t="s">
        <v>944</v>
      </c>
      <c r="E688" s="15">
        <v>222.29</v>
      </c>
    </row>
    <row r="689" spans="3:5">
      <c r="D689" t="s">
        <v>945</v>
      </c>
      <c r="E689" s="15">
        <v>219.32</v>
      </c>
    </row>
    <row r="690" spans="3:5">
      <c r="C690" s="26" t="e">
        <f>B690/B698-1</f>
        <v>#DIV/0!</v>
      </c>
      <c r="D690" t="s">
        <v>946</v>
      </c>
      <c r="E690" s="15">
        <v>219.66</v>
      </c>
    </row>
    <row r="691" spans="3:5">
      <c r="D691" t="s">
        <v>947</v>
      </c>
      <c r="E691" s="15">
        <v>218.57753655100001</v>
      </c>
    </row>
    <row r="692" spans="3:5">
      <c r="D692" t="s">
        <v>948</v>
      </c>
      <c r="E692" s="15">
        <v>26057882</v>
      </c>
    </row>
    <row r="693" spans="3:5">
      <c r="D693" t="s">
        <v>949</v>
      </c>
      <c r="E693" s="15">
        <v>0</v>
      </c>
    </row>
    <row r="694" spans="3:5">
      <c r="D694" t="s">
        <v>950</v>
      </c>
      <c r="E694" s="15">
        <v>1</v>
      </c>
    </row>
    <row r="695" spans="3:5">
      <c r="D695" t="s">
        <v>951</v>
      </c>
      <c r="E695" s="15">
        <v>217.1</v>
      </c>
    </row>
    <row r="696" spans="3:5">
      <c r="D696" t="s">
        <v>952</v>
      </c>
      <c r="E696" s="15">
        <v>220.36</v>
      </c>
    </row>
    <row r="697" spans="3:5">
      <c r="D697" t="s">
        <v>953</v>
      </c>
      <c r="E697" s="15">
        <v>216.01</v>
      </c>
    </row>
    <row r="698" spans="3:5">
      <c r="C698" s="26" t="e">
        <f>B698/B706-1</f>
        <v>#DIV/0!</v>
      </c>
      <c r="D698" t="s">
        <v>954</v>
      </c>
      <c r="E698" s="15">
        <v>219.66</v>
      </c>
    </row>
    <row r="699" spans="3:5">
      <c r="D699" t="s">
        <v>955</v>
      </c>
      <c r="E699" s="15">
        <v>218.57753655100001</v>
      </c>
    </row>
    <row r="700" spans="3:5">
      <c r="D700" t="s">
        <v>956</v>
      </c>
      <c r="E700" s="15">
        <v>22733064</v>
      </c>
    </row>
    <row r="701" spans="3:5">
      <c r="D701" t="s">
        <v>957</v>
      </c>
      <c r="E701" s="15">
        <v>0</v>
      </c>
    </row>
    <row r="702" spans="3:5">
      <c r="D702" t="s">
        <v>958</v>
      </c>
      <c r="E702" s="15">
        <v>1</v>
      </c>
    </row>
    <row r="703" spans="3:5">
      <c r="D703" t="s">
        <v>959</v>
      </c>
      <c r="E703" s="15">
        <v>223</v>
      </c>
    </row>
    <row r="704" spans="3:5">
      <c r="D704" t="s">
        <v>960</v>
      </c>
      <c r="E704" s="15">
        <v>224.22</v>
      </c>
    </row>
    <row r="705" spans="3:5">
      <c r="D705" t="s">
        <v>961</v>
      </c>
      <c r="E705" s="15">
        <v>219.13</v>
      </c>
    </row>
    <row r="706" spans="3:5">
      <c r="C706" s="26" t="e">
        <f>B706/B714-1</f>
        <v>#DIV/0!</v>
      </c>
      <c r="D706" t="s">
        <v>962</v>
      </c>
      <c r="E706" s="15">
        <v>220.86</v>
      </c>
    </row>
    <row r="707" spans="3:5">
      <c r="D707" t="s">
        <v>963</v>
      </c>
      <c r="E707" s="15">
        <v>219.77162306599999</v>
      </c>
    </row>
    <row r="708" spans="3:5">
      <c r="D708" t="s">
        <v>964</v>
      </c>
      <c r="E708" s="15">
        <v>23451713</v>
      </c>
    </row>
    <row r="709" spans="3:5">
      <c r="D709" t="s">
        <v>965</v>
      </c>
      <c r="E709" s="15">
        <v>0</v>
      </c>
    </row>
    <row r="710" spans="3:5">
      <c r="D710" t="s">
        <v>966</v>
      </c>
      <c r="E710" s="15">
        <v>1</v>
      </c>
    </row>
    <row r="711" spans="3:5">
      <c r="D711" t="s">
        <v>967</v>
      </c>
      <c r="E711" s="15">
        <v>222.72</v>
      </c>
    </row>
    <row r="712" spans="3:5">
      <c r="D712" t="s">
        <v>968</v>
      </c>
      <c r="E712" s="15">
        <v>225.21</v>
      </c>
    </row>
    <row r="713" spans="3:5">
      <c r="D713" t="s">
        <v>969</v>
      </c>
      <c r="E713" s="15">
        <v>220.43</v>
      </c>
    </row>
    <row r="714" spans="3:5">
      <c r="C714" s="26" t="e">
        <f>B714/B722-1</f>
        <v>#DIV/0!</v>
      </c>
      <c r="D714" t="s">
        <v>970</v>
      </c>
      <c r="E714" s="15">
        <v>222.86</v>
      </c>
    </row>
    <row r="715" spans="3:5">
      <c r="D715" t="s">
        <v>971</v>
      </c>
      <c r="E715" s="15">
        <v>221.761767257</v>
      </c>
    </row>
    <row r="716" spans="3:5">
      <c r="D716" t="s">
        <v>972</v>
      </c>
      <c r="E716" s="15">
        <v>28950843</v>
      </c>
    </row>
    <row r="717" spans="3:5">
      <c r="D717" t="s">
        <v>973</v>
      </c>
      <c r="E717" s="15">
        <v>0</v>
      </c>
    </row>
    <row r="718" spans="3:5">
      <c r="D718" t="s">
        <v>974</v>
      </c>
      <c r="E718" s="15">
        <v>1</v>
      </c>
    </row>
    <row r="719" spans="3:5">
      <c r="D719" t="s">
        <v>975</v>
      </c>
      <c r="E719" s="15">
        <v>218.79</v>
      </c>
    </row>
    <row r="720" spans="3:5">
      <c r="D720" t="s">
        <v>976</v>
      </c>
      <c r="E720" s="15">
        <v>223.86</v>
      </c>
    </row>
    <row r="721" spans="3:5">
      <c r="D721" t="s">
        <v>977</v>
      </c>
      <c r="E721" s="15">
        <v>216.81</v>
      </c>
    </row>
    <row r="722" spans="3:5">
      <c r="C722" s="26" t="e">
        <f>B722/B730-1</f>
        <v>#DIV/0!</v>
      </c>
      <c r="D722" t="s">
        <v>978</v>
      </c>
      <c r="E722" s="15">
        <v>221.4</v>
      </c>
    </row>
    <row r="723" spans="3:5">
      <c r="D723" t="s">
        <v>979</v>
      </c>
      <c r="E723" s="15">
        <v>220.30896199700001</v>
      </c>
    </row>
    <row r="724" spans="3:5">
      <c r="D724" t="s">
        <v>980</v>
      </c>
      <c r="E724" s="15">
        <v>40461368</v>
      </c>
    </row>
    <row r="725" spans="3:5">
      <c r="D725" t="s">
        <v>981</v>
      </c>
      <c r="E725" s="15">
        <v>0</v>
      </c>
    </row>
    <row r="726" spans="3:5">
      <c r="D726" t="s">
        <v>982</v>
      </c>
      <c r="E726" s="15">
        <v>1</v>
      </c>
    </row>
    <row r="727" spans="3:5">
      <c r="D727" t="s">
        <v>983</v>
      </c>
      <c r="E727" s="15">
        <v>211.23</v>
      </c>
    </row>
    <row r="728" spans="3:5">
      <c r="D728" t="s">
        <v>984</v>
      </c>
      <c r="E728" s="15">
        <v>215.86</v>
      </c>
    </row>
    <row r="729" spans="3:5">
      <c r="D729" t="s">
        <v>985</v>
      </c>
      <c r="E729" s="15">
        <v>211.23</v>
      </c>
    </row>
    <row r="730" spans="3:5">
      <c r="C730" s="26" t="e">
        <f>B730/B738-1</f>
        <v>#DIV/0!</v>
      </c>
      <c r="D730" t="s">
        <v>986</v>
      </c>
      <c r="E730" s="15">
        <v>215.81</v>
      </c>
    </row>
    <row r="731" spans="3:5">
      <c r="D731" t="s">
        <v>987</v>
      </c>
      <c r="E731" s="15">
        <v>214.74650898199999</v>
      </c>
    </row>
    <row r="732" spans="3:5">
      <c r="D732" t="s">
        <v>988</v>
      </c>
      <c r="E732" s="15">
        <v>26458047</v>
      </c>
    </row>
    <row r="733" spans="3:5">
      <c r="D733" t="s">
        <v>989</v>
      </c>
      <c r="E733" s="15">
        <v>0</v>
      </c>
    </row>
    <row r="734" spans="3:5">
      <c r="D734" t="s">
        <v>990</v>
      </c>
      <c r="E734" s="15">
        <v>1</v>
      </c>
    </row>
    <row r="735" spans="3:5">
      <c r="D735" t="s">
        <v>991</v>
      </c>
      <c r="E735" s="15">
        <v>210.51</v>
      </c>
    </row>
    <row r="736" spans="3:5">
      <c r="D736" t="s">
        <v>992</v>
      </c>
      <c r="E736" s="15">
        <v>211.19</v>
      </c>
    </row>
    <row r="737" spans="3:5">
      <c r="D737" t="s">
        <v>993</v>
      </c>
      <c r="E737" s="15">
        <v>208.32</v>
      </c>
    </row>
    <row r="738" spans="3:5">
      <c r="C738" s="26" t="e">
        <f>B738/B746-1</f>
        <v>#DIV/0!</v>
      </c>
      <c r="D738" t="s">
        <v>994</v>
      </c>
      <c r="E738" s="15">
        <v>210.58</v>
      </c>
    </row>
    <row r="739" spans="3:5">
      <c r="D739" t="s">
        <v>995</v>
      </c>
      <c r="E739" s="15">
        <v>209.54228192100001</v>
      </c>
    </row>
    <row r="740" spans="3:5">
      <c r="D740" t="s">
        <v>996</v>
      </c>
      <c r="E740" s="15">
        <v>19925837</v>
      </c>
    </row>
    <row r="741" spans="3:5">
      <c r="D741" t="s">
        <v>997</v>
      </c>
      <c r="E741" s="15">
        <v>0</v>
      </c>
    </row>
    <row r="742" spans="3:5">
      <c r="D742" t="s">
        <v>998</v>
      </c>
      <c r="E742" s="15">
        <v>1</v>
      </c>
    </row>
    <row r="743" spans="3:5">
      <c r="D743" t="s">
        <v>999</v>
      </c>
      <c r="E743" s="15">
        <v>207.06</v>
      </c>
    </row>
    <row r="744" spans="3:5">
      <c r="D744" t="s">
        <v>1000</v>
      </c>
      <c r="E744" s="15">
        <v>210.11</v>
      </c>
    </row>
    <row r="745" spans="3:5">
      <c r="D745" t="s">
        <v>1001</v>
      </c>
      <c r="E745" s="15">
        <v>206.72</v>
      </c>
    </row>
    <row r="746" spans="3:5">
      <c r="C746" s="26" t="e">
        <f>B746/B754-1</f>
        <v>#DIV/0!</v>
      </c>
      <c r="D746" t="s">
        <v>1002</v>
      </c>
      <c r="E746" s="15">
        <v>209.83</v>
      </c>
    </row>
    <row r="747" spans="3:5">
      <c r="D747" t="s">
        <v>1003</v>
      </c>
      <c r="E747" s="15">
        <v>208.79597785000001</v>
      </c>
    </row>
    <row r="748" spans="3:5">
      <c r="D748" t="s">
        <v>1004</v>
      </c>
      <c r="E748" s="15">
        <v>25681054</v>
      </c>
    </row>
    <row r="749" spans="3:5">
      <c r="D749" t="s">
        <v>1005</v>
      </c>
      <c r="E749" s="15">
        <v>0</v>
      </c>
    </row>
    <row r="750" spans="3:5">
      <c r="D750" t="s">
        <v>1006</v>
      </c>
      <c r="E750" s="15">
        <v>1</v>
      </c>
    </row>
    <row r="751" spans="3:5">
      <c r="D751" t="s">
        <v>1007</v>
      </c>
      <c r="E751" s="15">
        <v>208.82</v>
      </c>
    </row>
    <row r="752" spans="3:5">
      <c r="D752" t="s">
        <v>1008</v>
      </c>
      <c r="E752" s="15">
        <v>210.18</v>
      </c>
    </row>
    <row r="753" spans="3:5">
      <c r="D753" t="s">
        <v>1009</v>
      </c>
      <c r="E753" s="15">
        <v>204.82</v>
      </c>
    </row>
    <row r="754" spans="3:5">
      <c r="C754" s="26" t="e">
        <f>B754/B762-1</f>
        <v>#DIV/0!</v>
      </c>
      <c r="D754" t="s">
        <v>1010</v>
      </c>
      <c r="E754" s="15">
        <v>205.91</v>
      </c>
    </row>
    <row r="755" spans="3:5">
      <c r="D755" t="s">
        <v>1011</v>
      </c>
      <c r="E755" s="15">
        <v>204.895295234</v>
      </c>
    </row>
    <row r="756" spans="3:5">
      <c r="D756" t="s">
        <v>1012</v>
      </c>
      <c r="E756" s="15">
        <v>28554261</v>
      </c>
    </row>
    <row r="757" spans="3:5">
      <c r="D757" t="s">
        <v>1013</v>
      </c>
      <c r="E757" s="15">
        <v>0</v>
      </c>
    </row>
    <row r="758" spans="3:5">
      <c r="D758" t="s">
        <v>1014</v>
      </c>
      <c r="E758" s="15">
        <v>1</v>
      </c>
    </row>
    <row r="759" spans="3:5">
      <c r="D759" t="s">
        <v>1015</v>
      </c>
      <c r="E759" s="15">
        <v>207.22</v>
      </c>
    </row>
    <row r="760" spans="3:5">
      <c r="D760" t="s">
        <v>1016</v>
      </c>
      <c r="E760" s="15">
        <v>210.41</v>
      </c>
    </row>
    <row r="761" spans="3:5">
      <c r="D761" t="s">
        <v>1017</v>
      </c>
      <c r="E761" s="15">
        <v>206.98</v>
      </c>
    </row>
    <row r="762" spans="3:5">
      <c r="C762" s="26" t="e">
        <f>B762/B770-1</f>
        <v>#DIV/0!</v>
      </c>
      <c r="D762" t="s">
        <v>1018</v>
      </c>
      <c r="E762" s="15">
        <v>210.38</v>
      </c>
    </row>
    <row r="763" spans="3:5">
      <c r="D763" t="s">
        <v>1019</v>
      </c>
      <c r="E763" s="15">
        <v>209.343267502</v>
      </c>
    </row>
    <row r="764" spans="3:5">
      <c r="D764" t="s">
        <v>1020</v>
      </c>
      <c r="E764" s="15">
        <v>21331561</v>
      </c>
    </row>
    <row r="765" spans="3:5">
      <c r="D765" t="s">
        <v>1021</v>
      </c>
      <c r="E765" s="15">
        <v>0</v>
      </c>
    </row>
    <row r="766" spans="3:5">
      <c r="D766" t="s">
        <v>1022</v>
      </c>
      <c r="E766" s="15">
        <v>1</v>
      </c>
    </row>
    <row r="767" spans="3:5">
      <c r="D767" t="s">
        <v>1023</v>
      </c>
      <c r="E767" s="15">
        <v>208</v>
      </c>
    </row>
    <row r="768" spans="3:5">
      <c r="D768" t="s">
        <v>1024</v>
      </c>
      <c r="E768" s="15">
        <v>210.99</v>
      </c>
    </row>
    <row r="769" spans="3:5">
      <c r="D769" t="s">
        <v>1025</v>
      </c>
      <c r="E769" s="15">
        <v>205.54</v>
      </c>
    </row>
    <row r="770" spans="3:5">
      <c r="C770" s="26" t="e">
        <f>B770/B778-1</f>
        <v>#DIV/0!</v>
      </c>
      <c r="D770" t="s">
        <v>1026</v>
      </c>
      <c r="E770" s="15">
        <v>206.19</v>
      </c>
    </row>
    <row r="771" spans="3:5">
      <c r="D771" t="s">
        <v>1027</v>
      </c>
      <c r="E771" s="15">
        <v>205.173915421</v>
      </c>
    </row>
    <row r="772" spans="3:5">
      <c r="D772" t="s">
        <v>1028</v>
      </c>
      <c r="E772" s="15">
        <v>33154781</v>
      </c>
    </row>
    <row r="773" spans="3:5">
      <c r="D773" t="s">
        <v>1029</v>
      </c>
      <c r="E773" s="15">
        <v>0</v>
      </c>
    </row>
    <row r="774" spans="3:5">
      <c r="D774" t="s">
        <v>1030</v>
      </c>
      <c r="E774" s="15">
        <v>1</v>
      </c>
    </row>
    <row r="775" spans="3:5">
      <c r="D775" t="s">
        <v>1031</v>
      </c>
      <c r="E775" s="15">
        <v>213.49</v>
      </c>
    </row>
    <row r="776" spans="3:5">
      <c r="D776" t="s">
        <v>1032</v>
      </c>
      <c r="E776" s="15">
        <v>213.99</v>
      </c>
    </row>
    <row r="777" spans="3:5">
      <c r="D777" t="s">
        <v>1033</v>
      </c>
      <c r="E777" s="15">
        <v>211.32</v>
      </c>
    </row>
    <row r="778" spans="3:5">
      <c r="C778" s="26" t="e">
        <f>B778/B786-1</f>
        <v>#DIV/0!</v>
      </c>
      <c r="D778" t="s">
        <v>1034</v>
      </c>
      <c r="E778" s="15">
        <v>212.46</v>
      </c>
    </row>
    <row r="779" spans="3:5">
      <c r="D779" t="s">
        <v>1035</v>
      </c>
      <c r="E779" s="15">
        <v>211.41301746100001</v>
      </c>
    </row>
    <row r="780" spans="3:5">
      <c r="D780" t="s">
        <v>1036</v>
      </c>
      <c r="E780" s="15">
        <v>27158418</v>
      </c>
    </row>
    <row r="781" spans="3:5">
      <c r="D781" t="s">
        <v>1037</v>
      </c>
      <c r="E781" s="15">
        <v>0</v>
      </c>
    </row>
    <row r="782" spans="3:5">
      <c r="D782" t="s">
        <v>1038</v>
      </c>
      <c r="E782" s="15">
        <v>1</v>
      </c>
    </row>
    <row r="783" spans="3:5">
      <c r="D783" t="s">
        <v>1039</v>
      </c>
      <c r="E783" s="15">
        <v>207.73</v>
      </c>
    </row>
    <row r="784" spans="3:5">
      <c r="D784" t="s">
        <v>1040</v>
      </c>
      <c r="E784" s="15">
        <v>211.98</v>
      </c>
    </row>
    <row r="785" spans="3:5">
      <c r="D785" t="s">
        <v>1041</v>
      </c>
      <c r="E785" s="15">
        <v>206.54</v>
      </c>
    </row>
    <row r="786" spans="3:5">
      <c r="C786" s="26" t="e">
        <f>B786/B794-1</f>
        <v>#DIV/0!</v>
      </c>
      <c r="D786" t="s">
        <v>1042</v>
      </c>
      <c r="E786" s="15">
        <v>210.33</v>
      </c>
    </row>
    <row r="787" spans="3:5">
      <c r="D787" t="s">
        <v>1043</v>
      </c>
      <c r="E787" s="15">
        <v>209.293513897</v>
      </c>
    </row>
    <row r="788" spans="3:5">
      <c r="D788" t="s">
        <v>1044</v>
      </c>
      <c r="E788" s="15">
        <v>33829088</v>
      </c>
    </row>
    <row r="789" spans="3:5">
      <c r="D789" t="s">
        <v>1045</v>
      </c>
      <c r="E789" s="15">
        <v>0</v>
      </c>
    </row>
    <row r="790" spans="3:5">
      <c r="D790" t="s">
        <v>1046</v>
      </c>
      <c r="E790" s="15">
        <v>1</v>
      </c>
    </row>
    <row r="791" spans="3:5">
      <c r="D791" t="s">
        <v>1047</v>
      </c>
      <c r="E791" s="15">
        <v>209.35</v>
      </c>
    </row>
    <row r="792" spans="3:5">
      <c r="D792" t="s">
        <v>1048</v>
      </c>
      <c r="E792" s="15">
        <v>210.07</v>
      </c>
    </row>
    <row r="793" spans="3:5">
      <c r="D793" t="s">
        <v>1049</v>
      </c>
      <c r="E793" s="15">
        <v>206.81</v>
      </c>
    </row>
    <row r="794" spans="3:5">
      <c r="C794" s="26" t="e">
        <f>B794/B802-1</f>
        <v>#DIV/0!</v>
      </c>
      <c r="D794" t="s">
        <v>1050</v>
      </c>
      <c r="E794" s="15">
        <v>207.26</v>
      </c>
    </row>
    <row r="795" spans="3:5">
      <c r="D795" t="s">
        <v>1051</v>
      </c>
      <c r="E795" s="15">
        <v>206.238642564</v>
      </c>
    </row>
    <row r="796" spans="3:5">
      <c r="D796" t="s">
        <v>1052</v>
      </c>
      <c r="E796" s="15">
        <v>24464472</v>
      </c>
    </row>
    <row r="797" spans="3:5">
      <c r="D797" t="s">
        <v>1053</v>
      </c>
      <c r="E797" s="15">
        <v>0</v>
      </c>
    </row>
    <row r="798" spans="3:5">
      <c r="D798" t="s">
        <v>1054</v>
      </c>
      <c r="E798" s="15">
        <v>1</v>
      </c>
    </row>
    <row r="799" spans="3:5">
      <c r="D799" t="s">
        <v>1055</v>
      </c>
      <c r="E799" s="15">
        <v>210.88</v>
      </c>
    </row>
    <row r="800" spans="3:5">
      <c r="D800" t="s">
        <v>1056</v>
      </c>
      <c r="E800" s="15">
        <v>212.57</v>
      </c>
    </row>
    <row r="801" spans="3:5">
      <c r="D801" t="s">
        <v>1057</v>
      </c>
      <c r="E801" s="15">
        <v>208.06</v>
      </c>
    </row>
    <row r="802" spans="3:5">
      <c r="C802" s="26"/>
      <c r="D802" t="s">
        <v>1058</v>
      </c>
      <c r="E802" s="15">
        <v>209.44</v>
      </c>
    </row>
    <row r="803" spans="3:5">
      <c r="D803" t="s">
        <v>1059</v>
      </c>
      <c r="E803" s="15">
        <v>208.407899732</v>
      </c>
    </row>
    <row r="804" spans="3:5">
      <c r="D804" t="s">
        <v>1060</v>
      </c>
      <c r="E804" s="15">
        <v>32004936</v>
      </c>
    </row>
    <row r="805" spans="3:5">
      <c r="D805" t="s">
        <v>1061</v>
      </c>
      <c r="E805" s="15">
        <v>0</v>
      </c>
    </row>
    <row r="806" spans="3:5">
      <c r="D806" t="s">
        <v>1062</v>
      </c>
      <c r="E806" s="15">
        <v>1</v>
      </c>
    </row>
  </sheetData>
  <pageMargins left="0.7" right="0.7" top="0.78740157499999996" bottom="0.78740157499999996"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TIME_SERIES_DAILY_ADJUSTED_Routine">
                <anchor moveWithCells="1" sizeWithCells="1">
                  <from>
                    <xdr:col>7</xdr:col>
                    <xdr:colOff>327660</xdr:colOff>
                    <xdr:row>0</xdr:row>
                    <xdr:rowOff>114300</xdr:rowOff>
                  </from>
                  <to>
                    <xdr:col>9</xdr:col>
                    <xdr:colOff>754380</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K44"/>
  <sheetViews>
    <sheetView workbookViewId="0">
      <selection activeCell="I7" sqref="I7"/>
    </sheetView>
  </sheetViews>
  <sheetFormatPr baseColWidth="10" defaultRowHeight="14.4"/>
  <cols>
    <col min="1" max="1" width="39.6640625" customWidth="1"/>
    <col min="2" max="2" width="16.6640625" style="15" customWidth="1"/>
    <col min="4" max="4" width="33.6640625" customWidth="1"/>
    <col min="5" max="5" width="22.5546875" customWidth="1"/>
  </cols>
  <sheetData>
    <row r="1" spans="1:11">
      <c r="D1" s="5" t="s">
        <v>214</v>
      </c>
      <c r="G1" s="5" t="s">
        <v>254</v>
      </c>
    </row>
    <row r="2" spans="1:11">
      <c r="A2" s="17" t="s">
        <v>200</v>
      </c>
      <c r="B2" s="18" t="s">
        <v>1230</v>
      </c>
      <c r="D2" s="17" t="s">
        <v>200</v>
      </c>
      <c r="E2" s="18" t="s">
        <v>32</v>
      </c>
      <c r="G2" t="s">
        <v>1103</v>
      </c>
    </row>
    <row r="3" spans="1:11">
      <c r="A3" t="s">
        <v>201</v>
      </c>
      <c r="B3" s="15">
        <v>31.15</v>
      </c>
      <c r="D3" t="s">
        <v>201</v>
      </c>
      <c r="E3" s="15">
        <v>26.24</v>
      </c>
      <c r="G3" t="s">
        <v>1104</v>
      </c>
    </row>
    <row r="4" spans="1:11">
      <c r="A4" t="s">
        <v>202</v>
      </c>
      <c r="B4" s="15">
        <v>31.15</v>
      </c>
      <c r="D4" t="s">
        <v>202</v>
      </c>
      <c r="E4" s="15">
        <v>26.3</v>
      </c>
      <c r="G4" t="s">
        <v>1105</v>
      </c>
    </row>
    <row r="5" spans="1:11">
      <c r="A5" t="s">
        <v>203</v>
      </c>
      <c r="B5" s="15">
        <v>30.68</v>
      </c>
      <c r="D5" t="s">
        <v>203</v>
      </c>
      <c r="E5" s="15">
        <v>26.15</v>
      </c>
      <c r="G5" t="s">
        <v>1224</v>
      </c>
    </row>
    <row r="6" spans="1:11">
      <c r="A6" s="17" t="s">
        <v>204</v>
      </c>
      <c r="B6" s="18">
        <v>30.68</v>
      </c>
      <c r="D6" s="17" t="s">
        <v>204</v>
      </c>
      <c r="E6" s="18">
        <v>26.234999999999999</v>
      </c>
      <c r="G6" t="s">
        <v>1106</v>
      </c>
      <c r="K6" t="s">
        <v>1079</v>
      </c>
    </row>
    <row r="7" spans="1:11">
      <c r="A7" t="s">
        <v>205</v>
      </c>
      <c r="B7" s="15">
        <v>60</v>
      </c>
      <c r="D7" t="s">
        <v>205</v>
      </c>
      <c r="E7" s="15">
        <v>3256</v>
      </c>
      <c r="G7" t="s">
        <v>1107</v>
      </c>
      <c r="K7" t="s">
        <v>1080</v>
      </c>
    </row>
    <row r="8" spans="1:11">
      <c r="A8" t="s">
        <v>206</v>
      </c>
      <c r="B8" s="16">
        <v>44841</v>
      </c>
      <c r="D8" t="s">
        <v>206</v>
      </c>
      <c r="E8" s="16">
        <v>44232</v>
      </c>
      <c r="G8" t="s">
        <v>1108</v>
      </c>
    </row>
    <row r="9" spans="1:11">
      <c r="A9" t="s">
        <v>207</v>
      </c>
      <c r="B9" s="15">
        <v>31.43</v>
      </c>
      <c r="D9" t="s">
        <v>207</v>
      </c>
      <c r="E9" s="15">
        <v>26.09</v>
      </c>
      <c r="G9" t="s">
        <v>1109</v>
      </c>
    </row>
    <row r="10" spans="1:11">
      <c r="A10" t="s">
        <v>208</v>
      </c>
      <c r="B10" s="15">
        <v>-0.75</v>
      </c>
      <c r="D10" t="s">
        <v>208</v>
      </c>
      <c r="E10" s="15">
        <v>0.14499999999999999</v>
      </c>
      <c r="G10" t="s">
        <v>1110</v>
      </c>
    </row>
    <row r="11" spans="1:11">
      <c r="A11" s="17" t="s">
        <v>209</v>
      </c>
      <c r="B11" s="19">
        <v>-2.3862999999999999E-2</v>
      </c>
      <c r="D11" s="17" t="s">
        <v>209</v>
      </c>
      <c r="E11" s="19">
        <v>5.5579999999999996E-3</v>
      </c>
      <c r="G11" t="s">
        <v>1111</v>
      </c>
    </row>
    <row r="12" spans="1:11">
      <c r="G12" t="s">
        <v>1152</v>
      </c>
    </row>
    <row r="13" spans="1:11">
      <c r="G13" t="s">
        <v>1112</v>
      </c>
    </row>
    <row r="14" spans="1:11">
      <c r="G14" t="s">
        <v>1141</v>
      </c>
    </row>
    <row r="15" spans="1:11">
      <c r="G15" t="s">
        <v>1138</v>
      </c>
    </row>
    <row r="16" spans="1:11">
      <c r="G16" t="s">
        <v>1142</v>
      </c>
    </row>
    <row r="17" spans="7:7">
      <c r="G17" t="s">
        <v>1114</v>
      </c>
    </row>
    <row r="18" spans="7:7">
      <c r="G18" t="s">
        <v>1146</v>
      </c>
    </row>
    <row r="19" spans="7:7">
      <c r="G19" t="s">
        <v>1115</v>
      </c>
    </row>
    <row r="20" spans="7:7">
      <c r="G20" t="s">
        <v>1116</v>
      </c>
    </row>
    <row r="21" spans="7:7">
      <c r="G21" t="s">
        <v>1113</v>
      </c>
    </row>
    <row r="22" spans="7:7">
      <c r="G22" t="s">
        <v>1117</v>
      </c>
    </row>
    <row r="23" spans="7:7">
      <c r="G23" t="s">
        <v>1137</v>
      </c>
    </row>
    <row r="24" spans="7:7">
      <c r="G24" t="s">
        <v>1134</v>
      </c>
    </row>
    <row r="25" spans="7:7">
      <c r="G25" t="s">
        <v>1225</v>
      </c>
    </row>
    <row r="26" spans="7:7">
      <c r="G26" t="s">
        <v>1118</v>
      </c>
    </row>
    <row r="27" spans="7:7">
      <c r="G27" t="s">
        <v>1119</v>
      </c>
    </row>
    <row r="28" spans="7:7">
      <c r="G28" t="s">
        <v>1120</v>
      </c>
    </row>
    <row r="29" spans="7:7">
      <c r="G29" t="s">
        <v>1149</v>
      </c>
    </row>
    <row r="30" spans="7:7">
      <c r="G30" t="s">
        <v>1234</v>
      </c>
    </row>
    <row r="31" spans="7:7">
      <c r="G31" t="s">
        <v>1237</v>
      </c>
    </row>
    <row r="32" spans="7:7">
      <c r="G32" t="s">
        <v>1121</v>
      </c>
    </row>
    <row r="33" spans="7:7">
      <c r="G33" t="s">
        <v>1226</v>
      </c>
    </row>
    <row r="34" spans="7:7">
      <c r="G34" t="s">
        <v>1122</v>
      </c>
    </row>
    <row r="35" spans="7:7">
      <c r="G35" t="s">
        <v>1123</v>
      </c>
    </row>
    <row r="36" spans="7:7">
      <c r="G36" t="s">
        <v>1124</v>
      </c>
    </row>
    <row r="37" spans="7:7">
      <c r="G37" t="s">
        <v>1125</v>
      </c>
    </row>
    <row r="38" spans="7:7">
      <c r="G38" t="s">
        <v>1126</v>
      </c>
    </row>
    <row r="39" spans="7:7">
      <c r="G39" t="s">
        <v>1227</v>
      </c>
    </row>
    <row r="40" spans="7:7">
      <c r="G40" t="s">
        <v>1240</v>
      </c>
    </row>
    <row r="41" spans="7:7">
      <c r="G41" t="s">
        <v>1127</v>
      </c>
    </row>
    <row r="42" spans="7:7">
      <c r="G42" t="s">
        <v>1228</v>
      </c>
    </row>
    <row r="43" spans="7:7">
      <c r="G43" t="s">
        <v>1128</v>
      </c>
    </row>
    <row r="44" spans="7:7">
      <c r="G44" t="s">
        <v>1231</v>
      </c>
    </row>
  </sheetData>
  <pageMargins left="0.7" right="0.7" top="0.78740157499999996" bottom="0.78740157499999996"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LOBAL_QUOTE_Routine">
                <anchor moveWithCells="1" sizeWithCells="1">
                  <from>
                    <xdr:col>9</xdr:col>
                    <xdr:colOff>685800</xdr:colOff>
                    <xdr:row>0</xdr:row>
                    <xdr:rowOff>137160</xdr:rowOff>
                  </from>
                  <to>
                    <xdr:col>12</xdr:col>
                    <xdr:colOff>129540</xdr:colOff>
                    <xdr:row>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A1:J10"/>
  <sheetViews>
    <sheetView workbookViewId="0">
      <selection activeCell="D1" sqref="D1"/>
    </sheetView>
  </sheetViews>
  <sheetFormatPr baseColWidth="10" defaultRowHeight="14.4"/>
  <cols>
    <col min="1" max="1" width="56.77734375" customWidth="1"/>
    <col min="2" max="2" width="17.88671875" style="15" customWidth="1"/>
    <col min="4" max="4" width="41.88671875" customWidth="1"/>
    <col min="5" max="5" width="18.33203125" customWidth="1"/>
  </cols>
  <sheetData>
    <row r="1" spans="1:10">
      <c r="D1" s="5" t="s">
        <v>214</v>
      </c>
    </row>
    <row r="2" spans="1:10">
      <c r="A2" s="17" t="s">
        <v>1541</v>
      </c>
      <c r="B2" s="18" t="s">
        <v>1542</v>
      </c>
      <c r="D2" s="17" t="s">
        <v>215</v>
      </c>
      <c r="E2" s="18" t="s">
        <v>213</v>
      </c>
      <c r="J2" t="s">
        <v>197</v>
      </c>
    </row>
    <row r="3" spans="1:10">
      <c r="A3" t="s">
        <v>216</v>
      </c>
      <c r="B3" s="15" t="s">
        <v>212</v>
      </c>
      <c r="D3" t="s">
        <v>216</v>
      </c>
      <c r="E3" s="15" t="s">
        <v>212</v>
      </c>
      <c r="J3" t="s">
        <v>213</v>
      </c>
    </row>
    <row r="4" spans="1:10">
      <c r="A4" s="17" t="s">
        <v>217</v>
      </c>
      <c r="B4" s="18" t="s">
        <v>197</v>
      </c>
      <c r="D4" s="17" t="s">
        <v>217</v>
      </c>
      <c r="E4" s="18" t="s">
        <v>197</v>
      </c>
      <c r="J4" t="s">
        <v>227</v>
      </c>
    </row>
    <row r="5" spans="1:10">
      <c r="A5" t="s">
        <v>218</v>
      </c>
      <c r="B5" s="15" t="s">
        <v>219</v>
      </c>
      <c r="D5" t="s">
        <v>218</v>
      </c>
      <c r="E5" s="15" t="s">
        <v>219</v>
      </c>
      <c r="J5" t="s">
        <v>228</v>
      </c>
    </row>
    <row r="6" spans="1:10">
      <c r="A6" s="17" t="s">
        <v>220</v>
      </c>
      <c r="B6" s="18">
        <v>1.0257461999999999</v>
      </c>
      <c r="D6" s="17" t="s">
        <v>220</v>
      </c>
      <c r="E6" s="18">
        <v>1.2042999999999999</v>
      </c>
      <c r="G6" s="7" t="s">
        <v>229</v>
      </c>
      <c r="H6" s="15" t="s">
        <v>213</v>
      </c>
    </row>
    <row r="7" spans="1:10">
      <c r="A7" t="s">
        <v>221</v>
      </c>
      <c r="B7" s="20">
        <v>44786.302337962959</v>
      </c>
      <c r="D7" t="s">
        <v>221</v>
      </c>
      <c r="E7" s="20">
        <v>44233.687511574077</v>
      </c>
      <c r="G7" s="7" t="s">
        <v>230</v>
      </c>
      <c r="H7" s="15" t="s">
        <v>197</v>
      </c>
    </row>
    <row r="8" spans="1:10">
      <c r="A8" t="s">
        <v>222</v>
      </c>
      <c r="B8" s="15" t="s">
        <v>223</v>
      </c>
      <c r="D8" t="s">
        <v>222</v>
      </c>
      <c r="E8" s="15" t="s">
        <v>223</v>
      </c>
      <c r="G8" s="7" t="s">
        <v>231</v>
      </c>
      <c r="H8" s="21">
        <v>1.0257461999999999</v>
      </c>
    </row>
    <row r="9" spans="1:10">
      <c r="A9" t="s">
        <v>224</v>
      </c>
      <c r="B9" s="15">
        <v>1.0257461999999999</v>
      </c>
      <c r="D9" t="s">
        <v>224</v>
      </c>
      <c r="E9" s="15">
        <v>1.2042464100000001</v>
      </c>
    </row>
    <row r="10" spans="1:10">
      <c r="A10" t="s">
        <v>225</v>
      </c>
      <c r="B10" s="15">
        <v>1.0257461999999999</v>
      </c>
      <c r="D10" t="s">
        <v>225</v>
      </c>
      <c r="E10" s="15">
        <v>1.2043059</v>
      </c>
    </row>
  </sheetData>
  <dataValidations count="1">
    <dataValidation type="list" allowBlank="1" showInputMessage="1" showErrorMessage="1" sqref="H6 H7" xr:uid="{00000000-0002-0000-0500-000000000000}">
      <formula1>$J$2:$J$5</formula1>
    </dataValidation>
  </dataValidations>
  <pageMargins left="0.7" right="0.7" top="0.78740157499999996" bottom="0.78740157499999996"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URRENCY_EXCHANGE_RATE_Routine">
                <anchor moveWithCells="1" sizeWithCells="1">
                  <from>
                    <xdr:col>5</xdr:col>
                    <xdr:colOff>396240</xdr:colOff>
                    <xdr:row>1</xdr:row>
                    <xdr:rowOff>0</xdr:rowOff>
                  </from>
                  <to>
                    <xdr:col>8</xdr:col>
                    <xdr:colOff>624840</xdr:colOff>
                    <xdr:row>3</xdr:row>
                    <xdr:rowOff>175260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F5EF38D-5B94-44B3-81F5-C5E42AD93D4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Alphavantage</vt:lpstr>
      <vt:lpstr>API</vt:lpstr>
      <vt:lpstr>SMA</vt:lpstr>
      <vt:lpstr>TIME_SERIES_DAILY_ADJUSTED</vt:lpstr>
      <vt:lpstr>GLOBAL_QUOTE</vt:lpstr>
      <vt:lpstr>CURRENCY_EXCHANGE_RATE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Magnum</dc:creator>
  <cp:lastModifiedBy>Thomas Magnum</cp:lastModifiedBy>
  <dcterms:created xsi:type="dcterms:W3CDTF">2020-08-16T09:50:15Z</dcterms:created>
  <dcterms:modified xsi:type="dcterms:W3CDTF">2022-10-21T17:13:52Z</dcterms:modified>
</cp:coreProperties>
</file>